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9967FC39-DBCC-43B8-AF8F-8B2991F3B783}" xr6:coauthVersionLast="36" xr6:coauthVersionMax="36" xr10:uidLastSave="{00000000-0000-0000-0000-000000000000}"/>
  <bookViews>
    <workbookView xWindow="0" yWindow="0" windowWidth="28800" windowHeight="13590" activeTab="1" xr2:uid="{4077F076-0D75-4F0D-9D92-830D017EC9E0}"/>
  </bookViews>
  <sheets>
    <sheet name="inst_ctrl" sheetId="9" r:id="rId1"/>
    <sheet name="Main" sheetId="12" r:id="rId2"/>
    <sheet name="I2C_ctrl" sheetId="7" r:id="rId3"/>
    <sheet name="V_I_com" sheetId="5" r:id="rId4"/>
    <sheet name="raw_out" sheetId="6" r:id="rId5"/>
    <sheet name="IQ_measured" sheetId="13" r:id="rId6"/>
    <sheet name="SWIRE_scan" sheetId="15" r:id="rId7"/>
    <sheet name="CTRL_sh_ex" sheetId="16" r:id="rId8"/>
    <sheet name="CTRL_sh_line" sheetId="18" r:id="rId9"/>
    <sheet name="CTRL_sh_load" sheetId="19" r:id="rId10"/>
    <sheet name="table" sheetId="17" r:id="rId11"/>
    <sheet name="manual" sheetId="14" r:id="rId12"/>
    <sheet name="Main_old" sheetId="4" r:id="rId13"/>
    <sheet name="Main_V0.1" sheetId="11" r:id="rId14"/>
  </sheets>
  <functionGroups builtInGroupCount="19"/>
  <definedNames>
    <definedName name="_xlnm._FilterDatabase" localSheetId="1" hidden="1">Main!$A$37:$L$111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9" l="1"/>
  <c r="C32" i="19"/>
  <c r="C31" i="19"/>
  <c r="C33" i="18"/>
  <c r="C32" i="18"/>
  <c r="C31" i="18"/>
  <c r="C33" i="16" l="1"/>
  <c r="C32" i="16"/>
  <c r="C31" i="16"/>
  <c r="G352" i="15" l="1"/>
  <c r="E352" i="15"/>
  <c r="G351" i="15"/>
  <c r="E351" i="15"/>
  <c r="G350" i="15"/>
  <c r="E350" i="15"/>
  <c r="G349" i="15"/>
  <c r="E349" i="15"/>
  <c r="G348" i="15"/>
  <c r="E348" i="15"/>
  <c r="G347" i="15"/>
  <c r="E347" i="15"/>
  <c r="G346" i="15"/>
  <c r="E346" i="15"/>
  <c r="G345" i="15"/>
  <c r="E345" i="15"/>
  <c r="G344" i="15"/>
  <c r="E344" i="15"/>
  <c r="G343" i="15"/>
  <c r="E343" i="15"/>
  <c r="G342" i="15"/>
  <c r="E342" i="15"/>
  <c r="G341" i="15"/>
  <c r="E341" i="15"/>
  <c r="G340" i="15"/>
  <c r="E340" i="15"/>
  <c r="G339" i="15"/>
  <c r="E339" i="15"/>
  <c r="G338" i="15"/>
  <c r="E338" i="15"/>
  <c r="G337" i="15"/>
  <c r="E337" i="15"/>
  <c r="G336" i="15"/>
  <c r="E336" i="15"/>
  <c r="G335" i="15"/>
  <c r="E335" i="15"/>
  <c r="G334" i="15"/>
  <c r="E334" i="15"/>
  <c r="G333" i="15"/>
  <c r="E333" i="15"/>
  <c r="G332" i="15"/>
  <c r="E332" i="15"/>
  <c r="G331" i="15"/>
  <c r="E331" i="15"/>
  <c r="G330" i="15"/>
  <c r="E330" i="15"/>
  <c r="G329" i="15"/>
  <c r="E329" i="15"/>
  <c r="G328" i="15"/>
  <c r="E328" i="15"/>
  <c r="G327" i="15"/>
  <c r="E327" i="15"/>
  <c r="G326" i="15"/>
  <c r="E326" i="15"/>
  <c r="G325" i="15"/>
  <c r="E325" i="15"/>
  <c r="G324" i="15"/>
  <c r="E324" i="15"/>
  <c r="G323" i="15"/>
  <c r="E323" i="15"/>
  <c r="G322" i="15"/>
  <c r="E322" i="15"/>
  <c r="G321" i="15"/>
  <c r="E321" i="15"/>
  <c r="G320" i="15"/>
  <c r="E320" i="15"/>
  <c r="G319" i="15"/>
  <c r="E319" i="15"/>
  <c r="G318" i="15"/>
  <c r="E318" i="15"/>
  <c r="G317" i="15"/>
  <c r="E317" i="15"/>
  <c r="G316" i="15"/>
  <c r="E316" i="15"/>
  <c r="G315" i="15"/>
  <c r="E315" i="15"/>
  <c r="G314" i="15"/>
  <c r="E314" i="15"/>
  <c r="G313" i="15"/>
  <c r="E313" i="15"/>
  <c r="G312" i="15"/>
  <c r="E312" i="15"/>
  <c r="G311" i="15"/>
  <c r="E311" i="15"/>
  <c r="G310" i="15"/>
  <c r="E310" i="15"/>
  <c r="G309" i="15"/>
  <c r="E309" i="15"/>
  <c r="G308" i="15"/>
  <c r="E308" i="15"/>
  <c r="G307" i="15"/>
  <c r="E307" i="15"/>
  <c r="G306" i="15"/>
  <c r="E306" i="15"/>
  <c r="G305" i="15"/>
  <c r="E305" i="15"/>
  <c r="G304" i="15"/>
  <c r="E304" i="15"/>
  <c r="G303" i="15"/>
  <c r="E303" i="15"/>
  <c r="G302" i="15"/>
  <c r="E302" i="15"/>
  <c r="G301" i="15"/>
  <c r="E301" i="15"/>
  <c r="G300" i="15"/>
  <c r="E300" i="15"/>
  <c r="G299" i="15"/>
  <c r="E299" i="15"/>
  <c r="G298" i="15"/>
  <c r="E298" i="15"/>
  <c r="G297" i="15"/>
  <c r="E297" i="15"/>
  <c r="G296" i="15"/>
  <c r="E296" i="15"/>
  <c r="G295" i="15"/>
  <c r="E295" i="15"/>
  <c r="G294" i="15"/>
  <c r="E294" i="15"/>
  <c r="G293" i="15"/>
  <c r="E293" i="15"/>
  <c r="G292" i="15"/>
  <c r="E292" i="15"/>
  <c r="G291" i="15"/>
  <c r="E291" i="15"/>
  <c r="G290" i="15"/>
  <c r="E290" i="15"/>
  <c r="G289" i="15"/>
  <c r="E289" i="15"/>
  <c r="G288" i="15"/>
  <c r="E288" i="15"/>
  <c r="G287" i="15"/>
  <c r="E287" i="15"/>
  <c r="G286" i="15"/>
  <c r="E286" i="15"/>
  <c r="G285" i="15"/>
  <c r="E285" i="15"/>
  <c r="G284" i="15"/>
  <c r="E284" i="15"/>
  <c r="G283" i="15"/>
  <c r="E283" i="15"/>
  <c r="G282" i="15"/>
  <c r="E282" i="15"/>
  <c r="G281" i="15"/>
  <c r="E281" i="15"/>
  <c r="G280" i="15"/>
  <c r="E280" i="15"/>
  <c r="G279" i="15"/>
  <c r="E279" i="15"/>
  <c r="G278" i="15"/>
  <c r="E278" i="15"/>
  <c r="G277" i="15"/>
  <c r="E277" i="15"/>
  <c r="G276" i="15"/>
  <c r="E276" i="15"/>
  <c r="G275" i="15"/>
  <c r="E275" i="15"/>
  <c r="G274" i="15"/>
  <c r="E274" i="15"/>
  <c r="G273" i="15"/>
  <c r="E273" i="15"/>
  <c r="G272" i="15"/>
  <c r="E272" i="15"/>
  <c r="G271" i="15"/>
  <c r="E271" i="15"/>
  <c r="G270" i="15"/>
  <c r="E270" i="15"/>
  <c r="G269" i="15"/>
  <c r="E269" i="15"/>
  <c r="G268" i="15"/>
  <c r="E268" i="15"/>
  <c r="G267" i="15"/>
  <c r="E267" i="15"/>
  <c r="G266" i="15"/>
  <c r="E266" i="15"/>
  <c r="G265" i="15"/>
  <c r="E265" i="15"/>
  <c r="G264" i="15"/>
  <c r="E264" i="15"/>
  <c r="G263" i="15"/>
  <c r="E263" i="15"/>
  <c r="G262" i="15"/>
  <c r="E262" i="15"/>
  <c r="G261" i="15"/>
  <c r="E261" i="15"/>
  <c r="G260" i="15"/>
  <c r="E260" i="15"/>
  <c r="G259" i="15"/>
  <c r="E259" i="15"/>
  <c r="G258" i="15"/>
  <c r="E258" i="15"/>
  <c r="G257" i="15"/>
  <c r="E257" i="15"/>
  <c r="G256" i="15"/>
  <c r="E256" i="15"/>
  <c r="G255" i="15"/>
  <c r="E255" i="15"/>
  <c r="G254" i="15"/>
  <c r="E254" i="15"/>
  <c r="G253" i="15"/>
  <c r="E253" i="15"/>
  <c r="G252" i="15"/>
  <c r="E252" i="15"/>
  <c r="G251" i="15"/>
  <c r="E251" i="15"/>
  <c r="G250" i="15"/>
  <c r="E250" i="15"/>
  <c r="G249" i="15"/>
  <c r="E249" i="15"/>
  <c r="G248" i="15"/>
  <c r="E248" i="15"/>
  <c r="G247" i="15"/>
  <c r="E247" i="15"/>
  <c r="G246" i="15"/>
  <c r="E246" i="15"/>
  <c r="G245" i="15"/>
  <c r="E245" i="15"/>
  <c r="G244" i="15"/>
  <c r="E244" i="15"/>
  <c r="G243" i="15"/>
  <c r="E243" i="15"/>
  <c r="G242" i="15"/>
  <c r="E242" i="15"/>
  <c r="G241" i="15"/>
  <c r="E241" i="15"/>
  <c r="G240" i="15"/>
  <c r="E240" i="15"/>
  <c r="G239" i="15"/>
  <c r="E239" i="15"/>
  <c r="G238" i="15"/>
  <c r="E238" i="15"/>
  <c r="G237" i="15"/>
  <c r="E237" i="15"/>
  <c r="G236" i="15"/>
  <c r="E236" i="15"/>
  <c r="G235" i="15"/>
  <c r="E235" i="15"/>
  <c r="G234" i="15"/>
  <c r="E234" i="15"/>
  <c r="G233" i="15"/>
  <c r="E233" i="15"/>
  <c r="G232" i="15"/>
  <c r="E232" i="15"/>
  <c r="G231" i="15"/>
  <c r="E231" i="15"/>
  <c r="G230" i="15"/>
  <c r="E230" i="15"/>
  <c r="G229" i="15"/>
  <c r="E229" i="15"/>
  <c r="G228" i="15"/>
  <c r="E228" i="15"/>
  <c r="G227" i="15"/>
  <c r="E227" i="15"/>
  <c r="G226" i="15"/>
  <c r="E226" i="15"/>
  <c r="G225" i="15"/>
  <c r="E225" i="15"/>
  <c r="G224" i="15"/>
  <c r="E224" i="15"/>
  <c r="G223" i="15"/>
  <c r="E223" i="15"/>
  <c r="G222" i="15"/>
  <c r="E222" i="15"/>
  <c r="G221" i="15"/>
  <c r="E221" i="15"/>
  <c r="G220" i="15"/>
  <c r="E220" i="15"/>
  <c r="G219" i="15"/>
  <c r="E219" i="15"/>
  <c r="G218" i="15"/>
  <c r="E218" i="15"/>
  <c r="G217" i="15"/>
  <c r="E217" i="15"/>
  <c r="G216" i="15"/>
  <c r="E216" i="15"/>
  <c r="G215" i="15"/>
  <c r="E215" i="15"/>
  <c r="G214" i="15"/>
  <c r="E214" i="15"/>
  <c r="G213" i="15"/>
  <c r="E213" i="15"/>
  <c r="G212" i="15"/>
  <c r="E212" i="15"/>
  <c r="G211" i="15"/>
  <c r="E211" i="15"/>
  <c r="G210" i="15"/>
  <c r="E210" i="15"/>
  <c r="G209" i="15"/>
  <c r="E209" i="15"/>
  <c r="G208" i="15"/>
  <c r="E208" i="15"/>
  <c r="G207" i="15"/>
  <c r="E207" i="15"/>
  <c r="G206" i="15"/>
  <c r="E206" i="15"/>
  <c r="G205" i="15"/>
  <c r="E205" i="15"/>
  <c r="G204" i="15"/>
  <c r="E204" i="15"/>
  <c r="G203" i="15"/>
  <c r="E203" i="15"/>
  <c r="G202" i="15"/>
  <c r="E202" i="15"/>
  <c r="G201" i="15"/>
  <c r="E201" i="15"/>
  <c r="G200" i="15"/>
  <c r="E200" i="15"/>
  <c r="G199" i="15"/>
  <c r="E199" i="15"/>
  <c r="G198" i="15"/>
  <c r="E198" i="15"/>
  <c r="G197" i="15"/>
  <c r="E197" i="15"/>
  <c r="G196" i="15"/>
  <c r="E196" i="15"/>
  <c r="G195" i="15"/>
  <c r="E195" i="15"/>
  <c r="G194" i="15"/>
  <c r="E194" i="15"/>
  <c r="G193" i="15"/>
  <c r="E193" i="15"/>
  <c r="G192" i="15"/>
  <c r="E192" i="15"/>
  <c r="G191" i="15"/>
  <c r="E191" i="15"/>
  <c r="G190" i="15"/>
  <c r="E190" i="15"/>
  <c r="G189" i="15"/>
  <c r="E189" i="15"/>
  <c r="G188" i="15"/>
  <c r="E188" i="15"/>
  <c r="G187" i="15"/>
  <c r="E187" i="15"/>
  <c r="G186" i="15"/>
  <c r="E186" i="15"/>
  <c r="G185" i="15"/>
  <c r="E185" i="15"/>
  <c r="G184" i="15"/>
  <c r="E184" i="15"/>
  <c r="G183" i="15"/>
  <c r="E183" i="15"/>
  <c r="G182" i="15"/>
  <c r="E182" i="15"/>
  <c r="G181" i="15"/>
  <c r="E181" i="15"/>
  <c r="G180" i="15"/>
  <c r="E180" i="15"/>
  <c r="G179" i="15"/>
  <c r="E179" i="15"/>
  <c r="G178" i="15"/>
  <c r="E178" i="15"/>
  <c r="G177" i="15"/>
  <c r="E177" i="15"/>
  <c r="G176" i="15"/>
  <c r="E176" i="15"/>
  <c r="G175" i="15"/>
  <c r="E175" i="15"/>
  <c r="G174" i="15"/>
  <c r="E174" i="15"/>
  <c r="G173" i="15"/>
  <c r="E173" i="15"/>
  <c r="G172" i="15"/>
  <c r="E172" i="15"/>
  <c r="G171" i="15"/>
  <c r="E171" i="15"/>
  <c r="G170" i="15"/>
  <c r="E170" i="15"/>
  <c r="G169" i="15"/>
  <c r="E169" i="15"/>
  <c r="G168" i="15"/>
  <c r="E168" i="15"/>
  <c r="G167" i="15"/>
  <c r="E167" i="15"/>
  <c r="G166" i="15"/>
  <c r="E166" i="15"/>
  <c r="G165" i="15"/>
  <c r="E165" i="15"/>
  <c r="G164" i="15"/>
  <c r="E164" i="15"/>
  <c r="G163" i="15"/>
  <c r="E163" i="15"/>
  <c r="G162" i="15"/>
  <c r="E162" i="15"/>
  <c r="G161" i="15"/>
  <c r="E161" i="15"/>
  <c r="G160" i="15"/>
  <c r="E160" i="15"/>
  <c r="G159" i="15"/>
  <c r="E159" i="15"/>
  <c r="G158" i="15"/>
  <c r="E158" i="15"/>
  <c r="G157" i="15"/>
  <c r="E157" i="15"/>
  <c r="G156" i="15"/>
  <c r="E156" i="15"/>
  <c r="G155" i="15"/>
  <c r="E155" i="15"/>
  <c r="G154" i="15"/>
  <c r="E154" i="15"/>
  <c r="G153" i="15"/>
  <c r="E153" i="15"/>
  <c r="G152" i="15"/>
  <c r="E152" i="15"/>
  <c r="G151" i="15"/>
  <c r="E151" i="15"/>
  <c r="G150" i="15"/>
  <c r="E150" i="15"/>
  <c r="G149" i="15"/>
  <c r="E149" i="15"/>
  <c r="G148" i="15"/>
  <c r="E148" i="15"/>
  <c r="G147" i="15"/>
  <c r="E147" i="15"/>
  <c r="G146" i="15"/>
  <c r="E146" i="15"/>
  <c r="G145" i="15"/>
  <c r="E145" i="15"/>
  <c r="G144" i="15"/>
  <c r="E144" i="15"/>
  <c r="G143" i="15"/>
  <c r="E143" i="15"/>
  <c r="G142" i="15"/>
  <c r="E142" i="15"/>
  <c r="G141" i="15"/>
  <c r="E141" i="15"/>
  <c r="G140" i="15"/>
  <c r="E140" i="15"/>
  <c r="G139" i="15"/>
  <c r="E139" i="15"/>
  <c r="G138" i="15"/>
  <c r="E138" i="15"/>
  <c r="G137" i="15"/>
  <c r="E137" i="15"/>
  <c r="G136" i="15"/>
  <c r="E136" i="15"/>
  <c r="G135" i="15"/>
  <c r="E135" i="15"/>
  <c r="G134" i="15"/>
  <c r="E134" i="15"/>
  <c r="G133" i="15"/>
  <c r="E133" i="15"/>
  <c r="G132" i="15"/>
  <c r="E132" i="15"/>
  <c r="G131" i="15"/>
  <c r="E131" i="15"/>
  <c r="G130" i="15"/>
  <c r="E130" i="15"/>
  <c r="G129" i="15"/>
  <c r="E129" i="15"/>
  <c r="G128" i="15"/>
  <c r="E128" i="15"/>
  <c r="G127" i="15"/>
  <c r="E127" i="15"/>
  <c r="G126" i="15"/>
  <c r="E126" i="15"/>
  <c r="G125" i="15"/>
  <c r="E125" i="15"/>
  <c r="G124" i="15"/>
  <c r="E124" i="15"/>
  <c r="G123" i="15"/>
  <c r="E123" i="15"/>
  <c r="G122" i="15"/>
  <c r="E122" i="15"/>
  <c r="G121" i="15"/>
  <c r="E121" i="15"/>
  <c r="G120" i="15"/>
  <c r="E120" i="15"/>
  <c r="G119" i="15"/>
  <c r="E119" i="15"/>
  <c r="G118" i="15"/>
  <c r="E118" i="15"/>
  <c r="G117" i="15"/>
  <c r="E117" i="15"/>
  <c r="G116" i="15"/>
  <c r="E116" i="15"/>
  <c r="G115" i="15"/>
  <c r="E115" i="15"/>
  <c r="G114" i="15"/>
  <c r="E114" i="15"/>
  <c r="G113" i="15"/>
  <c r="E113" i="15"/>
  <c r="G112" i="15"/>
  <c r="E112" i="15"/>
  <c r="G111" i="15"/>
  <c r="E111" i="15"/>
  <c r="G110" i="15"/>
  <c r="E110" i="15"/>
  <c r="G109" i="15"/>
  <c r="E109" i="15"/>
  <c r="G108" i="15"/>
  <c r="E108" i="15"/>
  <c r="G107" i="15"/>
  <c r="E107" i="15"/>
  <c r="G106" i="15"/>
  <c r="E106" i="15"/>
  <c r="G105" i="15"/>
  <c r="E105" i="15"/>
  <c r="G104" i="15"/>
  <c r="E104" i="15"/>
  <c r="G103" i="15"/>
  <c r="E103" i="15"/>
  <c r="G102" i="15"/>
  <c r="E102" i="15"/>
  <c r="G101" i="15"/>
  <c r="E101" i="15"/>
  <c r="G100" i="15"/>
  <c r="E100" i="15"/>
  <c r="G99" i="15"/>
  <c r="E99" i="15"/>
  <c r="G98" i="15"/>
  <c r="E98" i="15"/>
  <c r="G97" i="15"/>
  <c r="E97" i="15"/>
  <c r="G96" i="15"/>
  <c r="E96" i="15"/>
  <c r="G95" i="15"/>
  <c r="E95" i="15"/>
  <c r="G94" i="15"/>
  <c r="E94" i="15"/>
  <c r="G93" i="15"/>
  <c r="E93" i="15"/>
  <c r="G92" i="15"/>
  <c r="E92" i="15"/>
  <c r="G91" i="15"/>
  <c r="E91" i="15"/>
  <c r="G90" i="15"/>
  <c r="E90" i="15"/>
  <c r="G89" i="15"/>
  <c r="E89" i="15"/>
  <c r="G88" i="15"/>
  <c r="E88" i="15"/>
  <c r="G87" i="15"/>
  <c r="E87" i="15"/>
  <c r="G86" i="15"/>
  <c r="E86" i="15"/>
  <c r="G85" i="15"/>
  <c r="E85" i="15"/>
  <c r="G84" i="15"/>
  <c r="E84" i="15"/>
  <c r="G83" i="15"/>
  <c r="E83" i="15"/>
  <c r="G82" i="15"/>
  <c r="E82" i="15"/>
  <c r="G81" i="15"/>
  <c r="E81" i="15"/>
  <c r="G80" i="15"/>
  <c r="E80" i="15"/>
  <c r="G79" i="15"/>
  <c r="E79" i="15"/>
  <c r="G78" i="15"/>
  <c r="E78" i="15"/>
  <c r="G77" i="15"/>
  <c r="E77" i="15"/>
  <c r="G76" i="15"/>
  <c r="E76" i="15"/>
  <c r="G75" i="15"/>
  <c r="E75" i="15"/>
  <c r="G74" i="15"/>
  <c r="E74" i="15"/>
  <c r="G73" i="15"/>
  <c r="E73" i="15"/>
  <c r="G72" i="15"/>
  <c r="E72" i="15"/>
  <c r="G71" i="15"/>
  <c r="E71" i="15"/>
  <c r="G70" i="15"/>
  <c r="E70" i="15"/>
  <c r="G69" i="15"/>
  <c r="E69" i="15"/>
  <c r="G68" i="15"/>
  <c r="E68" i="15"/>
  <c r="G67" i="15"/>
  <c r="E67" i="15"/>
  <c r="G66" i="15"/>
  <c r="E66" i="15"/>
  <c r="G65" i="15"/>
  <c r="E65" i="15"/>
  <c r="G64" i="15"/>
  <c r="E64" i="15"/>
  <c r="G63" i="15"/>
  <c r="E63" i="15"/>
  <c r="G62" i="15"/>
  <c r="E62" i="15"/>
  <c r="G61" i="15"/>
  <c r="E61" i="15"/>
  <c r="G60" i="15"/>
  <c r="E60" i="15"/>
  <c r="G59" i="15"/>
  <c r="E59" i="15"/>
  <c r="G58" i="15"/>
  <c r="E58" i="15"/>
  <c r="G57" i="15"/>
  <c r="E57" i="15"/>
  <c r="G56" i="15"/>
  <c r="E56" i="15"/>
  <c r="G55" i="15"/>
  <c r="E55" i="15"/>
  <c r="G54" i="15"/>
  <c r="E54" i="15"/>
  <c r="G53" i="15"/>
  <c r="E53" i="15"/>
  <c r="G52" i="15"/>
  <c r="E52" i="15"/>
  <c r="G51" i="15"/>
  <c r="E51" i="15"/>
  <c r="G50" i="15"/>
  <c r="E50" i="15"/>
  <c r="G49" i="15"/>
  <c r="E49" i="15"/>
  <c r="G48" i="15"/>
  <c r="E48" i="15"/>
  <c r="G47" i="15"/>
  <c r="E47" i="15"/>
  <c r="G46" i="15"/>
  <c r="E46" i="15"/>
  <c r="G45" i="15"/>
  <c r="E45" i="15"/>
  <c r="G44" i="15"/>
  <c r="E44" i="15"/>
  <c r="G43" i="15"/>
  <c r="E43" i="15"/>
  <c r="G42" i="15"/>
  <c r="E42" i="15"/>
  <c r="G41" i="15"/>
  <c r="E41" i="15"/>
  <c r="G40" i="15"/>
  <c r="E40" i="15"/>
  <c r="G39" i="15"/>
  <c r="E39" i="15"/>
  <c r="G38" i="15"/>
  <c r="E38" i="15"/>
  <c r="G37" i="15"/>
  <c r="E37" i="15"/>
  <c r="G36" i="15"/>
  <c r="E36" i="15"/>
  <c r="G35" i="15"/>
  <c r="E35" i="15"/>
  <c r="G34" i="15"/>
  <c r="E34" i="15"/>
  <c r="G33" i="15"/>
  <c r="E33" i="15"/>
  <c r="G32" i="15"/>
  <c r="E32" i="15"/>
  <c r="G31" i="15"/>
  <c r="E31" i="15"/>
  <c r="G30" i="15"/>
  <c r="E30" i="15"/>
  <c r="G29" i="15"/>
  <c r="E29" i="15"/>
  <c r="G28" i="15"/>
  <c r="E28" i="15"/>
  <c r="G27" i="15"/>
  <c r="E27" i="15"/>
  <c r="G26" i="15"/>
  <c r="E26" i="15"/>
  <c r="G25" i="15"/>
  <c r="E25" i="15"/>
  <c r="G24" i="15"/>
  <c r="E24" i="15"/>
  <c r="G23" i="15"/>
  <c r="E23" i="15"/>
  <c r="G22" i="15"/>
  <c r="E22" i="15"/>
  <c r="G21" i="15"/>
  <c r="E21" i="15"/>
  <c r="G20" i="15"/>
  <c r="E20" i="15"/>
  <c r="G19" i="15"/>
  <c r="E19" i="15"/>
  <c r="G18" i="15"/>
  <c r="E18" i="15"/>
  <c r="G17" i="15"/>
  <c r="E17" i="15"/>
  <c r="G16" i="15"/>
  <c r="E16" i="15"/>
  <c r="G15" i="15"/>
  <c r="E15" i="15"/>
  <c r="G14" i="15"/>
  <c r="E14" i="15"/>
  <c r="G13" i="15"/>
  <c r="E13" i="15"/>
  <c r="G12" i="15"/>
  <c r="E12" i="15"/>
  <c r="G11" i="15"/>
  <c r="E11" i="15"/>
  <c r="G10" i="15"/>
  <c r="E10" i="15"/>
  <c r="B2" i="15"/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<sst xmlns="http://schemas.openxmlformats.org/spreadsheetml/2006/main" count="1423" uniqueCount="712">
  <si>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</si>
  <si>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</si>
  <si>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</si>
  <si>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</si>
  <si>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</si>
  <si>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</si>
  <si>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</si>
  <si>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</si>
  <si>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</si>
  <si>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</si>
  <si>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</si>
  <si>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</si>
  <si>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</si>
  <si>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</si>
  <si>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</si>
  <si>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</si>
  <si>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</si>
  <si>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</si>
  <si>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</si>
  <si>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</si>
  <si>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</si>
  <si>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</si>
  <si>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</si>
  <si>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</si>
  <si>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</si>
  <si>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</si>
  <si>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</si>
  <si>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</si>
  <si>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</si>
  <si>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</si>
  <si>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</si>
  <si>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</si>
  <si>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</si>
  <si>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</si>
  <si>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</si>
  <si>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</si>
  <si>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</si>
  <si>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</si>
  <si>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</si>
  <si>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</si>
  <si>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</si>
  <si>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</si>
  <si>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</si>
  <si>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</si>
  <si>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</si>
  <si>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</si>
  <si>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</si>
  <si>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</si>
  <si>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</si>
  <si>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</si>
  <si>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</si>
  <si>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</si>
  <si>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</si>
  <si>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</si>
  <si>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</si>
  <si>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</si>
  <si>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</si>
  <si>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</si>
  <si>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</si>
  <si>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</si>
  <si>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</si>
  <si>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</si>
  <si>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</si>
  <si>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</si>
  <si>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</si>
  <si>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</si>
  <si>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</si>
  <si>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</si>
  <si>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</si>
  <si>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</si>
  <si>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</si>
  <si>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</si>
  <si>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</si>
  <si>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</si>
  <si>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</si>
  <si>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</si>
  <si>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</si>
  <si>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</si>
  <si>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</si>
  <si>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</si>
  <si>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</si>
  <si>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</si>
  <si>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</si>
  <si>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</si>
  <si>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</si>
  <si>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</si>
  <si>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</si>
  <si>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</si>
  <si>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</si>
  <si>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</si>
  <si>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</si>
  <si>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</si>
  <si>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</si>
  <si>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</si>
  <si>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</si>
  <si>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</si>
  <si>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</si>
  <si>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</si>
  <si>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</si>
  <si>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</si>
  <si>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</si>
  <si>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</si>
  <si>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</si>
  <si>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</si>
  <si>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</si>
  <si>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</si>
  <si>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</si>
  <si>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</si>
  <si>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</si>
  <si>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</si>
  <si>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</si>
  <si>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</si>
  <si>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</si>
  <si>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</si>
  <si>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</si>
  <si>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</si>
  <si>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</si>
  <si>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</si>
  <si>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</si>
  <si>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</si>
  <si>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</si>
  <si>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</si>
  <si>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</si>
  <si>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</si>
  <si>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</si>
  <si>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</si>
  <si>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</si>
  <si>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</si>
  <si>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</si>
  <si>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</si>
  <si>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</si>
  <si>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</si>
  <si>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</si>
  <si>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</si>
  <si>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</si>
  <si>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</si>
  <si>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</si>
  <si>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</si>
  <si>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</si>
  <si>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</si>
  <si>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</si>
  <si>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</si>
  <si>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</si>
  <si>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</si>
  <si>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</si>
  <si>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</si>
  <si>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</si>
  <si>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</si>
  <si>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</si>
  <si>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</si>
  <si>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</si>
  <si>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</si>
  <si>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</si>
  <si>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</si>
  <si>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</si>
  <si>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</si>
  <si>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</si>
  <si>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</si>
  <si>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</si>
  <si>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</si>
  <si>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</si>
  <si>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</si>
  <si>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</si>
  <si>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</si>
  <si>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</si>
  <si>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</si>
  <si>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</si>
  <si>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</si>
  <si>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</si>
  <si>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</si>
  <si>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</si>
  <si>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</si>
  <si>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</si>
  <si>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</si>
  <si>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</si>
  <si>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</si>
  <si>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</si>
  <si>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</si>
  <si>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</si>
  <si>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</si>
  <si>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</si>
  <si>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</si>
  <si>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</si>
  <si>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</si>
  <si>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</si>
  <si>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</si>
  <si>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</si>
  <si>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</si>
  <si>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</si>
  <si>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</si>
  <si>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</si>
  <si>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</si>
  <si>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</si>
  <si>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</si>
  <si>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</si>
  <si>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</si>
  <si>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</si>
  <si>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</si>
  <si>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</si>
  <si>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</si>
  <si>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</si>
  <si>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</si>
  <si>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</si>
  <si>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</si>
  <si>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</si>
  <si>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</si>
  <si>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</si>
  <si>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</si>
  <si>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</si>
  <si>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</si>
  <si>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</si>
  <si>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</si>
  <si>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</si>
  <si>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</si>
  <si>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</si>
  <si>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</si>
  <si>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</si>
  <si>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</si>
  <si>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</si>
  <si>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</si>
  <si>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</si>
  <si>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</si>
  <si>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</si>
  <si>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</si>
  <si>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</si>
  <si>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</si>
  <si>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</si>
  <si>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</si>
  <si>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</si>
  <si>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</si>
  <si>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</si>
  <si>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</si>
  <si>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</si>
  <si>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</si>
  <si>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</si>
  <si>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</si>
  <si>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</si>
  <si>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</si>
  <si>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</si>
  <si>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</si>
  <si>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</si>
  <si>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</si>
  <si>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</si>
  <si>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</si>
  <si>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</si>
  <si>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</si>
  <si>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</si>
  <si>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</si>
  <si>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</si>
  <si>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</si>
  <si>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</si>
  <si>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</si>
  <si>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</si>
  <si>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</si>
  <si>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</si>
  <si>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</si>
  <si>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</si>
  <si>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</si>
  <si>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</si>
  <si>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</si>
  <si>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</si>
  <si>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</si>
  <si>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</si>
  <si>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</si>
  <si>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</si>
  <si>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</si>
  <si>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</si>
  <si>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</si>
  <si>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</si>
  <si>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</si>
  <si>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</si>
  <si>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</si>
  <si>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</si>
  <si>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</si>
  <si>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</si>
  <si>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</si>
  <si>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</si>
  <si>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</si>
  <si>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</si>
  <si>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</si>
  <si>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</si>
  <si>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</si>
  <si>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</si>
  <si>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</si>
  <si>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</si>
  <si>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</si>
  <si>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</si>
  <si>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</si>
  <si>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</si>
  <si>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</si>
  <si>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</si>
  <si>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</si>
  <si>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</si>
  <si>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</si>
  <si>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</si>
  <si>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</si>
  <si>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</si>
  <si>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</si>
  <si>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</si>
  <si>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</si>
  <si>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</si>
  <si>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</si>
  <si>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</si>
  <si>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</si>
  <si>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</si>
  <si>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</si>
  <si>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</si>
  <si>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</si>
  <si>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</si>
  <si>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</si>
  <si>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</si>
  <si>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</si>
  <si>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</si>
  <si>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</si>
  <si>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</si>
  <si>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</si>
  <si>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</si>
  <si>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</si>
  <si>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</si>
  <si>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</si>
  <si>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</si>
  <si>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</si>
  <si>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</si>
  <si>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</si>
  <si>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</si>
  <si>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</si>
  <si>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</si>
  <si>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</si>
  <si>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</si>
  <si>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</si>
  <si>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</si>
  <si>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</si>
  <si>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</si>
  <si>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</si>
  <si>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Vin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</si>
  <si>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</si>
  <si>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</si>
  <si>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</si>
  <si>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</si>
  <si>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</si>
  <si>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</si>
  <si>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</si>
  <si>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</si>
  <si>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</si>
  <si>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</si>
  <si>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>Loader cal constant 1 (A)</t>
    <phoneticPr fontId="1" type="noConversion"/>
  </si>
  <si>
    <t>Loader cal constant 2 (A)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</si>
  <si>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</si>
  <si>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</si>
  <si>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B&amp;K,LPS-505NASR,0,Ver 1.01.10T_x000D_
</t>
    <phoneticPr fontId="1" type="noConversion"/>
  </si>
  <si>
    <t xml:space="preserve">HEWLETT-PACKARD,34401A,0,11-5-2
</t>
    <phoneticPr fontId="1" type="noConversion"/>
  </si>
  <si>
    <t xml:space="preserve">Keysight Technologies,34461A,MY60027760,A.03.03-03.15-03.03-00.52-04-03
</t>
    <phoneticPr fontId="1" type="noConversion"/>
  </si>
  <si>
    <t xml:space="preserve">CHROMA,63600-2,636002001398,1.90
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</si>
  <si>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</si>
  <si>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</si>
  <si>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</si>
  <si>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</si>
  <si>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</si>
  <si>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</si>
  <si>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Clamp_setting(V or A)</t>
    <phoneticPr fontId="3" type="noConversion"/>
  </si>
  <si>
    <t>for source meter settings (CURR or VOLT)</t>
    <phoneticPr fontId="1" type="noConversion"/>
  </si>
  <si>
    <t>source type(source meter)</t>
    <phoneticPr fontId="1" type="noConversion"/>
  </si>
  <si>
    <t>CURR</t>
    <phoneticPr fontId="1" type="noConversion"/>
  </si>
  <si>
    <t>default type of source(CURR or VOLT)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</si>
  <si>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</si>
  <si>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</si>
  <si>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</si>
  <si>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</si>
  <si>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</si>
  <si>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</si>
  <si>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</si>
  <si>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</si>
  <si>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</si>
  <si>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</si>
  <si>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</si>
  <si>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</si>
  <si>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</si>
  <si>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</si>
  <si>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</si>
  <si>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</si>
  <si>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</si>
  <si>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</si>
  <si>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</si>
  <si>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</si>
  <si>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</si>
  <si>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</si>
  <si>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</si>
  <si>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</si>
  <si>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</si>
  <si>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</si>
  <si>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</si>
  <si>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</si>
  <si>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</si>
  <si>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</si>
  <si>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</si>
  <si>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</si>
  <si>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</si>
  <si>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</si>
  <si>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</si>
  <si>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</si>
  <si>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</si>
  <si>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</si>
  <si>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</si>
  <si>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</si>
  <si>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</si>
  <si>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</si>
  <si>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</si>
  <si>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</si>
  <si>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</si>
  <si>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</si>
  <si>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</si>
  <si>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</si>
  <si>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</si>
  <si>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</si>
  <si>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</si>
  <si>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</si>
  <si>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</si>
  <si>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</si>
  <si>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</si>
  <si>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</si>
  <si>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</si>
  <si>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</si>
  <si>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</si>
  <si>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</si>
  <si>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</si>
  <si>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</si>
  <si>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</si>
  <si>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</si>
  <si>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</si>
  <si>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</si>
  <si>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</si>
  <si>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</si>
  <si>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</si>
  <si>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</si>
  <si>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</si>
  <si>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</si>
  <si>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</si>
  <si>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 channel used (ch3, relay 0)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</si>
  <si>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</si>
  <si>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</si>
  <si>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</si>
  <si>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</si>
  <si>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</si>
  <si>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</si>
  <si>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</si>
  <si>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</si>
  <si>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</si>
  <si>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</si>
  <si>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</si>
  <si>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</si>
  <si>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</si>
  <si>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</si>
  <si>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</si>
  <si>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</si>
  <si>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</si>
  <si>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</si>
  <si>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</si>
  <si>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</si>
  <si>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</si>
  <si>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</si>
  <si>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>eff re-run</t>
    <phoneticPr fontId="1" type="noConversion"/>
  </si>
  <si>
    <t xml:space="preserve">out will turn to 0 and set input to 0 once when test finish, set input to 1 to re-start eff measurement </t>
    <phoneticPr fontId="1" type="noConversion"/>
  </si>
  <si>
    <t>5_5</t>
    <phoneticPr fontId="1" type="noConversion"/>
  </si>
  <si>
    <t>setting iload_target current</t>
    <phoneticPr fontId="1" type="noConversion"/>
  </si>
  <si>
    <t>sheet turn off after finished</t>
    <phoneticPr fontId="1" type="noConversion"/>
  </si>
  <si>
    <t xml:space="preserve">1 is turn off after finished, 0 is to keep on </t>
    <phoneticPr fontId="1" type="noConversion"/>
  </si>
  <si>
    <t xml:space="preserve">Chamber-SU242 series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</si>
  <si>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</si>
  <si>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</si>
  <si>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</si>
  <si>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 xml:space="preserve">pop-plot pause function </t>
    <phoneticPr fontId="1" type="noConversion"/>
  </si>
  <si>
    <t>pop-confirm start up setup</t>
    <phoneticPr fontId="1" type="noConversion"/>
  </si>
  <si>
    <t xml:space="preserve">choose to have the pop out for setup check or not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</si>
  <si>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</si>
  <si>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</si>
  <si>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</si>
  <si>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chamber_tset(default)</t>
    <phoneticPr fontId="1" type="noConversion"/>
  </si>
  <si>
    <t xml:space="preserve">default setting for chamber </t>
    <phoneticPr fontId="1" type="noConversion"/>
  </si>
  <si>
    <t xml:space="preserve">chamber H_limit </t>
    <phoneticPr fontId="1" type="noConversion"/>
  </si>
  <si>
    <t xml:space="preserve">chamber L_limit </t>
    <phoneticPr fontId="1" type="noConversion"/>
  </si>
  <si>
    <t xml:space="preserve">high temperature limit </t>
    <phoneticPr fontId="1" type="noConversion"/>
  </si>
  <si>
    <t xml:space="preserve">low temperature limit </t>
    <phoneticPr fontId="1" type="noConversion"/>
  </si>
  <si>
    <t>chamber_hyst</t>
    <phoneticPr fontId="1" type="noConversion"/>
  </si>
  <si>
    <t xml:space="preserve">the acceptable temperature error range </t>
    <phoneticPr fontId="1" type="noConversion"/>
  </si>
  <si>
    <t>Object main sheet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</si>
  <si>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</si>
  <si>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</si>
  <si>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</si>
  <si>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</si>
  <si>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>index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</si>
  <si>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</si>
  <si>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</si>
  <si>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</si>
  <si>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</si>
  <si>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</si>
  <si>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instrument initial - PWR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</si>
  <si>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</si>
  <si>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</si>
  <si>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</si>
  <si>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</si>
  <si>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</si>
  <si>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</si>
  <si>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>instrument initial - Chroma loader</t>
    <phoneticPr fontId="1" type="noConversion"/>
  </si>
  <si>
    <t xml:space="preserve">operation mode </t>
    <phoneticPr fontId="1" type="noConversion"/>
  </si>
  <si>
    <t xml:space="preserve">instrument initial - Sourcemeter </t>
    <phoneticPr fontId="1" type="noConversion"/>
  </si>
  <si>
    <t xml:space="preserve">cource type </t>
    <phoneticPr fontId="1" type="noConversion"/>
  </si>
  <si>
    <t>clamp VI setting</t>
    <phoneticPr fontId="1" type="noConversion"/>
  </si>
  <si>
    <t xml:space="preserve">instrument initial - Multi-meter </t>
    <phoneticPr fontId="1" type="noConversion"/>
  </si>
  <si>
    <t xml:space="preserve">instrument initial - Chamber 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</si>
  <si>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</si>
  <si>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</si>
  <si>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</si>
  <si>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</si>
  <si>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</si>
  <si>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</si>
  <si>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</si>
  <si>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</si>
  <si>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</si>
  <si>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</si>
  <si>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</si>
  <si>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</si>
  <si>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</si>
  <si>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</si>
  <si>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</si>
  <si>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</si>
  <si>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</si>
  <si>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>sheet turn off after finished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</si>
  <si>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</si>
  <si>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</si>
  <si>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</si>
  <si>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</si>
  <si>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</si>
  <si>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</si>
  <si>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 xml:space="preserve">choose to have the pop out for setup check or not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</si>
  <si>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</si>
  <si>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</si>
  <si>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>chamber_tset(default)</t>
    <phoneticPr fontId="1" type="noConversion"/>
  </si>
  <si>
    <t xml:space="preserve">default setting for chamber </t>
    <phoneticPr fontId="1" type="noConversion"/>
  </si>
  <si>
    <t xml:space="preserve">chamber H_limit </t>
    <phoneticPr fontId="1" type="noConversion"/>
  </si>
  <si>
    <t xml:space="preserve">high temperature limit </t>
    <phoneticPr fontId="1" type="noConversion"/>
  </si>
  <si>
    <t xml:space="preserve">chamber L_limit </t>
    <phoneticPr fontId="1" type="noConversion"/>
  </si>
  <si>
    <t xml:space="preserve">low temperature limit 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</si>
  <si>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</si>
  <si>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</si>
  <si>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</si>
  <si>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</si>
  <si>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</si>
  <si>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</si>
  <si>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</si>
  <si>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</si>
  <si>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</si>
  <si>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</si>
  <si>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</si>
  <si>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</si>
  <si>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</si>
  <si>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</si>
  <si>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</si>
  <si>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</si>
  <si>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</si>
  <si>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</si>
  <si>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>single verification settings - IQ scan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</si>
  <si>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</si>
  <si>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</si>
  <si>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</si>
  <si>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</si>
  <si>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</si>
  <si>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</si>
  <si>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</si>
  <si>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</si>
  <si>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</si>
  <si>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</si>
  <si>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</si>
  <si>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</si>
  <si>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</si>
  <si>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</si>
  <si>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</si>
  <si>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</si>
  <si>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</si>
  <si>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</si>
  <si>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 xml:space="preserve">detail content 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</si>
  <si>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</si>
  <si>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</si>
  <si>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</si>
  <si>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</si>
  <si>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</si>
  <si>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</si>
  <si>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</si>
  <si>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</si>
  <si>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</si>
  <si>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</si>
  <si>
    <t>***********</t>
    <phoneticPr fontId="3" type="noConversion"/>
  </si>
  <si>
    <t>************</t>
    <phoneticPr fontId="3" type="noConversion"/>
  </si>
  <si>
    <t>Vin (V)</t>
    <phoneticPr fontId="3" type="noConversion"/>
  </si>
  <si>
    <t>full load_EL(A)</t>
    <phoneticPr fontId="3" type="noConversion"/>
  </si>
  <si>
    <t>AVDD_full(A)</t>
    <phoneticPr fontId="1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</si>
  <si>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</si>
  <si>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</si>
  <si>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</si>
  <si>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</si>
  <si>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</si>
  <si>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</si>
  <si>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</si>
  <si>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AVDD(V)</t>
    <phoneticPr fontId="1" type="noConversion"/>
  </si>
  <si>
    <t>NA</t>
    <phoneticPr fontId="1" type="noConversion"/>
  </si>
  <si>
    <t>SWIRE scan</t>
    <phoneticPr fontId="1" type="noConversion"/>
  </si>
  <si>
    <t>single</t>
    <phoneticPr fontId="1" type="noConversion"/>
  </si>
  <si>
    <t xml:space="preserve">scan SWIRE pulse </t>
    <phoneticPr fontId="1" type="noConversion"/>
  </si>
  <si>
    <t>Iin (A)</t>
    <phoneticPr fontId="1" type="noConversion"/>
  </si>
  <si>
    <t>pwr channel used (Vin, relay 0)</t>
    <phoneticPr fontId="1" type="noConversion"/>
  </si>
  <si>
    <t>channel for initialization (just pre-test)</t>
    <phoneticPr fontId="1" type="noConversion"/>
  </si>
  <si>
    <t xml:space="preserve">operating condition </t>
    <phoneticPr fontId="1" type="noConversion"/>
  </si>
  <si>
    <t xml:space="preserve">efficiency on one file </t>
    <phoneticPr fontId="1" type="noConversion"/>
  </si>
  <si>
    <t xml:space="preserve">1 is to add all the efficiency result in one file </t>
    <phoneticPr fontId="1" type="noConversion"/>
  </si>
  <si>
    <t>16_67</t>
    <phoneticPr fontId="1" type="noConversion"/>
  </si>
  <si>
    <t>efficiency re-run EN</t>
    <phoneticPr fontId="1" type="noConversion"/>
  </si>
  <si>
    <t xml:space="preserve">1 is to wait for re-run, will stop in loop </t>
    <phoneticPr fontId="1" type="noConversion"/>
  </si>
  <si>
    <t>Eff_file output name</t>
  </si>
  <si>
    <t>pwr is in sim mode</t>
    <phoneticPr fontId="1" type="noConversion"/>
  </si>
  <si>
    <t>met is in sim mode</t>
    <phoneticPr fontId="1" type="noConversion"/>
  </si>
  <si>
    <t>loader is in sim mode</t>
    <phoneticPr fontId="1" type="noConversion"/>
  </si>
  <si>
    <t>current</t>
    <phoneticPr fontId="1" type="noConversion"/>
  </si>
  <si>
    <t>votlage</t>
    <phoneticPr fontId="1" type="noConversion"/>
  </si>
  <si>
    <t>src is in sim mode</t>
    <phoneticPr fontId="1" type="noConversion"/>
  </si>
  <si>
    <t>chamber is in sim mode</t>
    <phoneticPr fontId="1" type="noConversion"/>
  </si>
  <si>
    <t xml:space="preserve">reference width and heigh </t>
    <phoneticPr fontId="3" type="noConversion"/>
  </si>
  <si>
    <t xml:space="preserve">&gt; to generate the table with realted value setting for verification </t>
    <phoneticPr fontId="3" type="noConversion"/>
  </si>
  <si>
    <t xml:space="preserve">&gt; assume most 10 row and 10 column array </t>
  </si>
  <si>
    <t xml:space="preserve">default width and heigh </t>
    <phoneticPr fontId="3" type="noConversion"/>
  </si>
  <si>
    <t xml:space="preserve">system generat result </t>
    <phoneticPr fontId="3" type="noConversion"/>
  </si>
  <si>
    <t xml:space="preserve">Format shows below: </t>
    <phoneticPr fontId="3" type="noConversion"/>
  </si>
  <si>
    <t xml:space="preserve">need input </t>
    <phoneticPr fontId="3" type="noConversion"/>
  </si>
  <si>
    <t xml:space="preserve">row_str + item1 </t>
  </si>
  <si>
    <t>row_str + item2</t>
  </si>
  <si>
    <t xml:space="preserve">row_str + item3 </t>
  </si>
  <si>
    <t>…</t>
    <phoneticPr fontId="3" type="noConversion"/>
  </si>
  <si>
    <t>col_str + item1' + extra</t>
  </si>
  <si>
    <t xml:space="preserve">col_data1 </t>
    <phoneticPr fontId="3" type="noConversion"/>
  </si>
  <si>
    <t>col_data2</t>
    <phoneticPr fontId="3" type="noConversion"/>
  </si>
  <si>
    <t>col_str + item2' + extra</t>
  </si>
  <si>
    <t>col_str + item3' + extra</t>
  </si>
  <si>
    <t xml:space="preserve">&gt; control variable for program </t>
    <phoneticPr fontId="3" type="noConversion"/>
  </si>
  <si>
    <t>item_str</t>
    <phoneticPr fontId="1" type="noConversion"/>
  </si>
  <si>
    <t xml:space="preserve"> mA</t>
    <phoneticPr fontId="1" type="noConversion"/>
  </si>
  <si>
    <t>row_word</t>
  </si>
  <si>
    <t xml:space="preserve">Vin= </t>
    <phoneticPr fontId="3" type="noConversion"/>
  </si>
  <si>
    <t xml:space="preserve">used for part number or other information </t>
    <phoneticPr fontId="3" type="noConversion"/>
  </si>
  <si>
    <t xml:space="preserve">column word </t>
    <phoneticPr fontId="3" type="noConversion"/>
  </si>
  <si>
    <t>NT50374 NBA</t>
    <phoneticPr fontId="3" type="noConversion"/>
  </si>
  <si>
    <t xml:space="preserve">used for variable of different column </t>
    <phoneticPr fontId="3" type="noConversion"/>
  </si>
  <si>
    <t xml:space="preserve">row_item count </t>
  </si>
  <si>
    <t>counter of row items</t>
  </si>
  <si>
    <t xml:space="preserve">col_item_count </t>
    <phoneticPr fontId="3" type="noConversion"/>
  </si>
  <si>
    <t>counter of column items</t>
    <phoneticPr fontId="3" type="noConversion"/>
  </si>
  <si>
    <t xml:space="preserve">data_count </t>
    <phoneticPr fontId="3" type="noConversion"/>
  </si>
  <si>
    <t xml:space="preserve">extra </t>
    <phoneticPr fontId="3" type="noConversion"/>
  </si>
  <si>
    <t>I2C</t>
    <phoneticPr fontId="3" type="noConversion"/>
  </si>
  <si>
    <t xml:space="preserve">extra string message for the testing </t>
    <phoneticPr fontId="3" type="noConversion"/>
  </si>
  <si>
    <t xml:space="preserve">new file name </t>
    <phoneticPr fontId="3" type="noConversion"/>
  </si>
  <si>
    <t>testing_format</t>
    <phoneticPr fontId="3" type="noConversion"/>
  </si>
  <si>
    <t xml:space="preserve">result trace </t>
    <phoneticPr fontId="3" type="noConversion"/>
  </si>
  <si>
    <t xml:space="preserve">default trace for the result book </t>
    <phoneticPr fontId="3" type="noConversion"/>
  </si>
  <si>
    <t>default color</t>
    <phoneticPr fontId="1" type="noConversion"/>
  </si>
  <si>
    <t xml:space="preserve">default color of table, don't change </t>
    <phoneticPr fontId="1" type="noConversion"/>
  </si>
  <si>
    <t xml:space="preserve">target color </t>
    <phoneticPr fontId="1" type="noConversion"/>
  </si>
  <si>
    <t xml:space="preserve">change the color for the new table </t>
    <phoneticPr fontId="1" type="noConversion"/>
  </si>
  <si>
    <t>info in row</t>
    <phoneticPr fontId="3" type="noConversion"/>
  </si>
  <si>
    <t>info in column</t>
    <phoneticPr fontId="3" type="noConversion"/>
  </si>
  <si>
    <t>info in measured data</t>
    <phoneticPr fontId="3" type="noConversion"/>
  </si>
  <si>
    <t xml:space="preserve">row_items </t>
  </si>
  <si>
    <t xml:space="preserve">column items </t>
    <phoneticPr fontId="3" type="noConversion"/>
  </si>
  <si>
    <t>col_data</t>
    <phoneticPr fontId="3" type="noConversion"/>
  </si>
  <si>
    <t>2.9</t>
    <phoneticPr fontId="3" type="noConversion"/>
  </si>
  <si>
    <t>OVDD</t>
    <phoneticPr fontId="3" type="noConversion"/>
  </si>
  <si>
    <t>3.3</t>
    <phoneticPr fontId="3" type="noConversion"/>
  </si>
  <si>
    <t>OVSS</t>
    <phoneticPr fontId="3" type="noConversion"/>
  </si>
  <si>
    <t>3.7</t>
    <phoneticPr fontId="3" type="noConversion"/>
  </si>
  <si>
    <t>AVDD</t>
    <phoneticPr fontId="3" type="noConversion"/>
  </si>
  <si>
    <t>4.2</t>
    <phoneticPr fontId="3" type="noConversion"/>
  </si>
  <si>
    <t>4.5</t>
    <phoneticPr fontId="3" type="noConversion"/>
  </si>
  <si>
    <t>5</t>
    <phoneticPr fontId="3" type="noConversion"/>
  </si>
  <si>
    <t>5.5</t>
    <phoneticPr fontId="3" type="noConversion"/>
  </si>
  <si>
    <t>ctrl_variable_1</t>
  </si>
  <si>
    <t>ctrl_variable_2</t>
  </si>
  <si>
    <t>ctrl_variable_3</t>
  </si>
  <si>
    <t>ctrl_variable_4</t>
  </si>
  <si>
    <t>ctrl_variable_5</t>
  </si>
  <si>
    <t>ctrl_variable_6</t>
  </si>
  <si>
    <t>ctrl_variable_7</t>
  </si>
  <si>
    <t>Vin</t>
  </si>
  <si>
    <t>0</t>
    <phoneticPr fontId="3" type="noConversion"/>
  </si>
  <si>
    <t>1</t>
    <phoneticPr fontId="3" type="noConversion"/>
  </si>
  <si>
    <t>30</t>
    <phoneticPr fontId="3" type="noConversion"/>
  </si>
  <si>
    <t>50</t>
    <phoneticPr fontId="3" type="noConversion"/>
  </si>
  <si>
    <t>80</t>
    <phoneticPr fontId="1" type="noConversion"/>
  </si>
  <si>
    <t>90</t>
    <phoneticPr fontId="1" type="noConversion"/>
  </si>
  <si>
    <t>100</t>
    <phoneticPr fontId="1" type="noConversion"/>
  </si>
  <si>
    <t>pulse1</t>
    <phoneticPr fontId="1" type="noConversion"/>
  </si>
  <si>
    <t>pulse 2</t>
    <phoneticPr fontId="1" type="noConversion"/>
  </si>
  <si>
    <t>load current1</t>
    <phoneticPr fontId="1" type="noConversion"/>
  </si>
  <si>
    <t>load current2</t>
    <phoneticPr fontId="1" type="noConversion"/>
  </si>
  <si>
    <t>enter the name for the waveform table (sheet name)</t>
    <phoneticPr fontId="3" type="noConversion"/>
  </si>
  <si>
    <t>format-gen</t>
    <phoneticPr fontId="1" type="noConversion"/>
  </si>
  <si>
    <t>single verification settings - format gen</t>
    <phoneticPr fontId="1" type="noConversion"/>
  </si>
  <si>
    <t>testing_line</t>
    <phoneticPr fontId="3" type="noConversion"/>
  </si>
  <si>
    <t>testing_load</t>
    <phoneticPr fontId="3" type="noConversion"/>
  </si>
  <si>
    <t>Loader cal off constant 1 (A)</t>
    <phoneticPr fontId="1" type="noConversion"/>
  </si>
  <si>
    <t>Loader cal off constant 2 (A)</t>
    <phoneticPr fontId="1" type="noConversion"/>
  </si>
  <si>
    <t xml:space="preserve">loader leakage const 1 </t>
    <phoneticPr fontId="1" type="noConversion"/>
  </si>
  <si>
    <t>loader leakage const 2</t>
    <phoneticPr fontId="1" type="noConversion"/>
  </si>
  <si>
    <t xml:space="preserve">leakage for chroma loader (EL-power) </t>
    <phoneticPr fontId="1" type="noConversion"/>
  </si>
  <si>
    <t xml:space="preserve">leakage for chroma loader (AVDD) </t>
    <phoneticPr fontId="1" type="noConversion"/>
  </si>
  <si>
    <t>1 is to pop up window before start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</si>
</sst>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6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2" fillId="3" borderId="1" xfId="1" applyFill="1" applyBorder="1"/>
    <xf numFmtId="0" fontId="2" fillId="0" borderId="1" xfId="1" applyFill="1" applyBorder="1"/>
    <xf numFmtId="49" fontId="2" fillId="0" borderId="0" xfId="1" applyNumberFormat="1"/>
    <xf numFmtId="0" fontId="2" fillId="0" borderId="2" xfId="1" applyBorder="1"/>
    <xf numFmtId="0" fontId="2" fillId="2" borderId="3" xfId="1" applyFill="1" applyBorder="1"/>
    <xf numFmtId="0" fontId="2" fillId="0" borderId="35" xfId="1" applyBorder="1"/>
    <xf numFmtId="0" fontId="2" fillId="2" borderId="36" xfId="1" applyFill="1" applyBorder="1"/>
    <xf numFmtId="49" fontId="2" fillId="0" borderId="5" xfId="1" applyNumberFormat="1" applyBorder="1"/>
    <xf numFmtId="49" fontId="2" fillId="3" borderId="6" xfId="1" applyNumberFormat="1" applyFill="1" applyBorder="1"/>
    <xf numFmtId="49" fontId="2" fillId="0" borderId="9" xfId="1" applyNumberFormat="1" applyBorder="1"/>
    <xf numFmtId="49" fontId="2" fillId="2" borderId="10" xfId="1" applyNumberFormat="1" applyFill="1" applyBorder="1"/>
    <xf numFmtId="49" fontId="2" fillId="9" borderId="19" xfId="1" applyNumberFormat="1" applyFill="1" applyBorder="1"/>
    <xf numFmtId="0" fontId="2" fillId="9" borderId="19" xfId="1" applyFill="1" applyBorder="1"/>
    <xf numFmtId="0" fontId="2" fillId="9" borderId="6" xfId="1" applyFill="1" applyBorder="1"/>
    <xf numFmtId="49" fontId="2" fillId="9" borderId="7" xfId="1" applyNumberFormat="1" applyFill="1" applyBorder="1"/>
    <xf numFmtId="49" fontId="2" fillId="0" borderId="1" xfId="1" applyNumberFormat="1" applyBorder="1"/>
    <xf numFmtId="0" fontId="2" fillId="0" borderId="8" xfId="1" applyBorder="1"/>
    <xf numFmtId="49" fontId="2" fillId="0" borderId="7" xfId="1" applyNumberFormat="1" applyBorder="1"/>
    <xf numFmtId="49" fontId="2" fillId="9" borderId="1" xfId="1" applyNumberFormat="1" applyFill="1" applyBorder="1"/>
    <xf numFmtId="0" fontId="2" fillId="9" borderId="1" xfId="1" applyFill="1" applyBorder="1"/>
    <xf numFmtId="0" fontId="2" fillId="9" borderId="8" xfId="1" applyFill="1" applyBorder="1"/>
    <xf numFmtId="49" fontId="2" fillId="0" borderId="37" xfId="1" applyNumberFormat="1" applyBorder="1"/>
    <xf numFmtId="0" fontId="2" fillId="0" borderId="37" xfId="1" applyBorder="1"/>
    <xf numFmtId="0" fontId="2" fillId="0" borderId="10" xfId="1" applyBorder="1"/>
    <xf numFmtId="49" fontId="2" fillId="0" borderId="0" xfId="1" applyNumberFormat="1" applyBorder="1"/>
    <xf numFmtId="0" fontId="2" fillId="0" borderId="0" xfId="1" applyBorder="1"/>
    <xf numFmtId="49" fontId="2" fillId="2" borderId="0" xfId="1" applyNumberFormat="1" applyFill="1"/>
    <xf numFmtId="0" fontId="2" fillId="3" borderId="0" xfId="1" applyNumberFormat="1" applyFill="1"/>
    <xf numFmtId="49" fontId="2" fillId="2" borderId="0" xfId="1" applyNumberFormat="1" applyFill="1" applyBorder="1"/>
    <xf numFmtId="49" fontId="2" fillId="3" borderId="0" xfId="1" applyNumberFormat="1" applyFill="1" applyBorder="1"/>
    <xf numFmtId="49" fontId="2" fillId="4" borderId="0" xfId="1" applyNumberFormat="1" applyFill="1" applyBorder="1"/>
    <xf numFmtId="49" fontId="2" fillId="2" borderId="1" xfId="1" applyNumberFormat="1" applyFill="1" applyBorder="1"/>
    <xf numFmtId="0" fontId="2" fillId="3" borderId="1" xfId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2" fillId="0" borderId="1" xfId="1" applyBorder="1" applyAlignment="1">
      <alignment horizontal="center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workbookViewId="0"/>
  </sheetViews>
  <sheetFormatPr defaultRowHeight="16.5" x14ac:dyDescent="0.25"/>
  <cols>
    <col min="3" max="17" width="14.5" bestFit="1" customWidth="1"/>
  </cols>
  <sheetData>
    <row r="1" spans="3:23" x14ac:dyDescent="0.25">
      <c r="C1" t="s">
        <v>366</v>
      </c>
      <c r="D1" t="s">
        <v>366</v>
      </c>
      <c r="E1" t="s">
        <v>366</v>
      </c>
      <c r="F1" t="s">
        <v>366</v>
      </c>
      <c r="G1" t="s">
        <v>366</v>
      </c>
      <c r="H1" t="s">
        <v>366</v>
      </c>
      <c r="I1" t="s">
        <v>366</v>
      </c>
      <c r="J1" t="s">
        <v>366</v>
      </c>
      <c r="K1" t="s">
        <v>366</v>
      </c>
      <c r="L1" t="s">
        <v>366</v>
      </c>
      <c r="M1" t="s">
        <v>366</v>
      </c>
      <c r="N1" t="s">
        <v>366</v>
      </c>
      <c r="O1" t="s">
        <v>366</v>
      </c>
      <c r="P1" t="s">
        <v>366</v>
      </c>
      <c r="Q1" t="s">
        <v>366</v>
      </c>
    </row>
    <row r="2" spans="3:23" x14ac:dyDescent="0.25">
      <c r="C2" t="s">
        <v>398</v>
      </c>
      <c r="D2" s="74"/>
    </row>
    <row r="3" spans="3:23" x14ac:dyDescent="0.25">
      <c r="C3" t="s">
        <v>399</v>
      </c>
      <c r="D3" s="1"/>
      <c r="I3" s="144" t="s">
        <v>401</v>
      </c>
      <c r="J3" s="144"/>
      <c r="K3" s="144"/>
      <c r="M3" t="s">
        <v>400</v>
      </c>
    </row>
    <row r="4" spans="3:23" x14ac:dyDescent="0.25">
      <c r="I4" s="42"/>
      <c r="J4" s="42" t="s">
        <v>424</v>
      </c>
      <c r="K4" s="81" t="s">
        <v>423</v>
      </c>
      <c r="M4" t="s">
        <v>373</v>
      </c>
      <c r="N4" s="74">
        <v>2</v>
      </c>
      <c r="O4" s="75" t="s">
        <v>432</v>
      </c>
      <c r="P4" s="75"/>
      <c r="Q4" s="75"/>
      <c r="R4" s="75"/>
      <c r="S4" s="75"/>
      <c r="T4" s="75"/>
      <c r="U4" s="75"/>
      <c r="V4" s="75"/>
      <c r="W4" s="75"/>
    </row>
    <row r="5" spans="3:23" x14ac:dyDescent="0.25">
      <c r="C5" s="142" t="s">
        <v>422</v>
      </c>
      <c r="D5" s="143"/>
      <c r="I5" s="2" t="s">
        <v>369</v>
      </c>
      <c r="J5" s="4">
        <v>13</v>
      </c>
      <c r="K5" s="4">
        <v>3</v>
      </c>
      <c r="O5" t="s">
        <v>433</v>
      </c>
    </row>
    <row r="6" spans="3:23" x14ac:dyDescent="0.25">
      <c r="C6" s="2" t="s">
        <v>367</v>
      </c>
      <c r="D6" s="43"/>
      <c r="E6" s="79" t="s">
        <v>368</v>
      </c>
      <c r="F6" s="75"/>
      <c r="G6" s="75"/>
      <c r="I6" s="2" t="s">
        <v>372</v>
      </c>
      <c r="J6" s="4">
        <v>27</v>
      </c>
      <c r="K6" s="4">
        <v>3</v>
      </c>
    </row>
    <row r="7" spans="3:23" x14ac:dyDescent="0.25">
      <c r="C7" s="2" t="s">
        <v>370</v>
      </c>
      <c r="D7" s="44"/>
      <c r="E7" s="79" t="s">
        <v>371</v>
      </c>
      <c r="F7" s="79"/>
      <c r="G7" s="79"/>
      <c r="I7" s="2" t="s">
        <v>374</v>
      </c>
      <c r="J7" s="4">
        <v>41</v>
      </c>
      <c r="K7" s="4">
        <v>3</v>
      </c>
    </row>
    <row r="8" spans="3:23" x14ac:dyDescent="0.25">
      <c r="I8" s="2" t="s">
        <v>375</v>
      </c>
      <c r="J8" s="4">
        <v>41</v>
      </c>
      <c r="K8" s="4">
        <v>5</v>
      </c>
    </row>
    <row r="9" spans="3:23" x14ac:dyDescent="0.25">
      <c r="I9" s="15" t="s">
        <v>404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137" t="s">
        <v>376</v>
      </c>
      <c r="D12" s="145"/>
      <c r="E12" s="145"/>
      <c r="F12" s="145"/>
      <c r="G12" s="145"/>
      <c r="H12" s="141"/>
      <c r="J12" t="s">
        <v>427</v>
      </c>
    </row>
    <row r="13" spans="3:23" x14ac:dyDescent="0.25">
      <c r="C13" s="45" t="s">
        <v>377</v>
      </c>
      <c r="D13" s="84">
        <v>0</v>
      </c>
      <c r="E13" s="46"/>
      <c r="F13" s="46" t="s">
        <v>402</v>
      </c>
      <c r="G13" s="76">
        <v>0</v>
      </c>
      <c r="H13" s="82">
        <v>0</v>
      </c>
      <c r="J13" t="s">
        <v>409</v>
      </c>
    </row>
    <row r="14" spans="3:23" ht="17.25" thickBot="1" x14ac:dyDescent="0.3">
      <c r="C14" s="48" t="s">
        <v>378</v>
      </c>
      <c r="D14" s="49">
        <v>0</v>
      </c>
      <c r="E14" s="50">
        <v>0</v>
      </c>
      <c r="F14" s="51" t="s">
        <v>403</v>
      </c>
      <c r="G14" s="49">
        <v>1</v>
      </c>
      <c r="H14" s="52">
        <v>1</v>
      </c>
      <c r="J14" t="s">
        <v>428</v>
      </c>
    </row>
    <row r="15" spans="3:23" x14ac:dyDescent="0.25">
      <c r="C15" s="53" t="s">
        <v>379</v>
      </c>
      <c r="D15" s="83">
        <v>1</v>
      </c>
      <c r="E15" s="53" t="s">
        <v>380</v>
      </c>
      <c r="F15" s="83">
        <v>1</v>
      </c>
      <c r="G15" s="53" t="s">
        <v>381</v>
      </c>
      <c r="H15" s="83">
        <v>1</v>
      </c>
      <c r="J15" t="s">
        <v>429</v>
      </c>
    </row>
    <row r="16" spans="3:23" x14ac:dyDescent="0.25">
      <c r="C16" s="54" t="s">
        <v>382</v>
      </c>
      <c r="D16" s="55" t="s">
        <v>383</v>
      </c>
      <c r="E16" s="54" t="s">
        <v>382</v>
      </c>
      <c r="F16" s="55" t="s">
        <v>383</v>
      </c>
      <c r="G16" s="54" t="s">
        <v>382</v>
      </c>
      <c r="H16" s="55" t="s">
        <v>383</v>
      </c>
      <c r="J16" t="s">
        <v>430</v>
      </c>
    </row>
    <row r="17" spans="3:12" x14ac:dyDescent="0.25">
      <c r="C17" s="56">
        <v>2</v>
      </c>
      <c r="D17" s="57">
        <v>0</v>
      </c>
      <c r="E17" s="56">
        <v>0</v>
      </c>
      <c r="F17" s="57">
        <v>0</v>
      </c>
      <c r="G17" s="56">
        <v>2</v>
      </c>
      <c r="H17" s="57">
        <v>0</v>
      </c>
      <c r="J17" t="s">
        <v>443</v>
      </c>
    </row>
    <row r="18" spans="3:12" x14ac:dyDescent="0.25">
      <c r="C18" s="54" t="s">
        <v>384</v>
      </c>
      <c r="D18" s="55" t="s">
        <v>385</v>
      </c>
      <c r="E18" s="54" t="s">
        <v>384</v>
      </c>
      <c r="F18" s="55" t="s">
        <v>385</v>
      </c>
      <c r="G18" s="54" t="s">
        <v>384</v>
      </c>
      <c r="H18" s="55" t="s">
        <v>385</v>
      </c>
    </row>
    <row r="19" spans="3:12" ht="17.25" thickBot="1" x14ac:dyDescent="0.3">
      <c r="C19" s="58">
        <v>1</v>
      </c>
      <c r="D19" s="59">
        <v>0</v>
      </c>
      <c r="E19" s="58">
        <v>0.2</v>
      </c>
      <c r="F19" s="59">
        <v>0</v>
      </c>
      <c r="G19" s="58">
        <v>0.3</v>
      </c>
      <c r="H19" s="59">
        <v>0</v>
      </c>
    </row>
    <row r="20" spans="3:12" x14ac:dyDescent="0.25">
      <c r="C20" s="60" t="s">
        <v>386</v>
      </c>
      <c r="D20" s="61" t="s">
        <v>387</v>
      </c>
      <c r="E20" s="60" t="s">
        <v>386</v>
      </c>
      <c r="F20" s="61" t="s">
        <v>387</v>
      </c>
      <c r="G20" s="60" t="s">
        <v>386</v>
      </c>
      <c r="H20" s="62" t="s">
        <v>387</v>
      </c>
    </row>
    <row r="21" spans="3:12" ht="17.25" thickBot="1" x14ac:dyDescent="0.3">
      <c r="C21" s="58">
        <v>0</v>
      </c>
      <c r="D21" s="59" t="s">
        <v>448</v>
      </c>
      <c r="E21" s="58">
        <v>0</v>
      </c>
      <c r="F21" s="59" t="s">
        <v>448</v>
      </c>
      <c r="G21" s="58">
        <v>0</v>
      </c>
      <c r="H21" s="59" t="s">
        <v>448</v>
      </c>
    </row>
    <row r="25" spans="3:12" ht="17.25" thickBot="1" x14ac:dyDescent="0.3"/>
    <row r="26" spans="3:12" x14ac:dyDescent="0.25">
      <c r="C26" s="137" t="s">
        <v>388</v>
      </c>
      <c r="D26" s="145"/>
      <c r="E26" s="145"/>
      <c r="F26" s="145"/>
      <c r="G26" s="145"/>
      <c r="H26" s="145"/>
      <c r="I26" s="145"/>
      <c r="J26" s="141"/>
      <c r="L26" t="s">
        <v>418</v>
      </c>
    </row>
    <row r="27" spans="3:12" x14ac:dyDescent="0.25">
      <c r="C27" s="45" t="s">
        <v>377</v>
      </c>
      <c r="D27" s="84">
        <v>0</v>
      </c>
      <c r="E27" s="46"/>
      <c r="F27" s="46"/>
      <c r="G27" s="46"/>
      <c r="H27" s="46"/>
      <c r="I27" s="46"/>
      <c r="J27" s="47"/>
      <c r="L27" t="s">
        <v>409</v>
      </c>
    </row>
    <row r="28" spans="3:12" ht="17.25" thickBot="1" x14ac:dyDescent="0.3">
      <c r="C28" s="48" t="s">
        <v>378</v>
      </c>
      <c r="D28" s="49">
        <v>0</v>
      </c>
      <c r="E28" s="50">
        <v>0</v>
      </c>
      <c r="F28" s="63"/>
      <c r="G28" s="63"/>
      <c r="H28" s="63"/>
      <c r="I28" s="63"/>
      <c r="J28" s="64"/>
      <c r="L28" t="s">
        <v>425</v>
      </c>
    </row>
    <row r="29" spans="3:12" x14ac:dyDescent="0.25">
      <c r="C29" s="53" t="s">
        <v>379</v>
      </c>
      <c r="D29" s="83">
        <v>1</v>
      </c>
      <c r="E29" s="53" t="s">
        <v>380</v>
      </c>
      <c r="F29" s="83">
        <v>1</v>
      </c>
      <c r="G29" s="53" t="s">
        <v>381</v>
      </c>
      <c r="H29" s="83">
        <v>1</v>
      </c>
      <c r="I29" s="53" t="s">
        <v>389</v>
      </c>
      <c r="J29" s="83">
        <v>1</v>
      </c>
      <c r="L29" t="s">
        <v>426</v>
      </c>
    </row>
    <row r="30" spans="3:12" x14ac:dyDescent="0.25">
      <c r="C30" s="54" t="s">
        <v>384</v>
      </c>
      <c r="D30" s="55" t="s">
        <v>385</v>
      </c>
      <c r="E30" s="54" t="s">
        <v>384</v>
      </c>
      <c r="F30" s="55" t="s">
        <v>385</v>
      </c>
      <c r="G30" s="54" t="s">
        <v>384</v>
      </c>
      <c r="H30" s="55" t="s">
        <v>385</v>
      </c>
      <c r="I30" s="54" t="s">
        <v>384</v>
      </c>
      <c r="J30" s="55" t="s">
        <v>385</v>
      </c>
      <c r="L30" t="s">
        <v>430</v>
      </c>
    </row>
    <row r="31" spans="3:12" x14ac:dyDescent="0.25">
      <c r="C31" s="56">
        <v>1</v>
      </c>
      <c r="D31" s="57">
        <v>5</v>
      </c>
      <c r="E31" s="56">
        <v>2</v>
      </c>
      <c r="F31" s="57">
        <v>6</v>
      </c>
      <c r="G31" s="56">
        <v>2</v>
      </c>
      <c r="H31" s="57">
        <v>7</v>
      </c>
      <c r="I31" s="56">
        <v>2</v>
      </c>
      <c r="J31" s="57">
        <v>8</v>
      </c>
      <c r="L31" t="s">
        <v>434</v>
      </c>
    </row>
    <row r="32" spans="3:12" x14ac:dyDescent="0.25">
      <c r="C32" s="54" t="s">
        <v>390</v>
      </c>
      <c r="D32" s="55" t="s">
        <v>391</v>
      </c>
      <c r="E32" s="54" t="s">
        <v>390</v>
      </c>
      <c r="F32" s="55" t="s">
        <v>391</v>
      </c>
      <c r="G32" s="54" t="s">
        <v>390</v>
      </c>
      <c r="H32" s="55" t="s">
        <v>391</v>
      </c>
      <c r="I32" s="54" t="s">
        <v>390</v>
      </c>
      <c r="J32" s="55" t="s">
        <v>391</v>
      </c>
      <c r="L32" t="s">
        <v>444</v>
      </c>
    </row>
    <row r="33" spans="3:10" x14ac:dyDescent="0.25">
      <c r="C33" s="56" t="s">
        <v>55</v>
      </c>
      <c r="D33" s="57" t="s">
        <v>55</v>
      </c>
      <c r="E33" s="56" t="s">
        <v>55</v>
      </c>
      <c r="F33" s="57" t="s">
        <v>55</v>
      </c>
      <c r="G33" s="56" t="s">
        <v>55</v>
      </c>
      <c r="H33" s="57" t="s">
        <v>55</v>
      </c>
      <c r="I33" s="56" t="s">
        <v>55</v>
      </c>
      <c r="J33" s="57" t="s">
        <v>55</v>
      </c>
    </row>
    <row r="34" spans="3:10" x14ac:dyDescent="0.25">
      <c r="C34" s="65" t="s">
        <v>386</v>
      </c>
      <c r="D34" s="55" t="s">
        <v>387</v>
      </c>
      <c r="E34" s="65" t="s">
        <v>386</v>
      </c>
      <c r="F34" s="55" t="s">
        <v>387</v>
      </c>
      <c r="G34" s="65" t="s">
        <v>386</v>
      </c>
      <c r="H34" s="55" t="s">
        <v>387</v>
      </c>
      <c r="I34" s="65" t="s">
        <v>386</v>
      </c>
      <c r="J34" s="55" t="s">
        <v>387</v>
      </c>
    </row>
    <row r="35" spans="3:10" ht="17.25" thickBot="1" x14ac:dyDescent="0.3">
      <c r="C35" s="58">
        <v>0</v>
      </c>
      <c r="D35" s="59" t="s">
        <v>448</v>
      </c>
      <c r="E35" s="58">
        <v>0</v>
      </c>
      <c r="F35" s="59" t="s">
        <v>448</v>
      </c>
      <c r="G35" s="58">
        <v>0</v>
      </c>
      <c r="H35" s="59" t="s">
        <v>448</v>
      </c>
      <c r="I35" s="58">
        <v>0</v>
      </c>
      <c r="J35" s="59" t="s">
        <v>448</v>
      </c>
    </row>
    <row r="39" spans="3:10" ht="17.25" thickBot="1" x14ac:dyDescent="0.3"/>
    <row r="40" spans="3:10" x14ac:dyDescent="0.25">
      <c r="C40" s="137" t="s">
        <v>392</v>
      </c>
      <c r="D40" s="138"/>
      <c r="E40" s="139" t="s">
        <v>375</v>
      </c>
      <c r="F40" s="140"/>
      <c r="H40" t="s">
        <v>419</v>
      </c>
    </row>
    <row r="41" spans="3:10" x14ac:dyDescent="0.25">
      <c r="C41" s="66" t="s">
        <v>377</v>
      </c>
      <c r="D41" s="85">
        <v>1</v>
      </c>
      <c r="E41" s="67" t="s">
        <v>377</v>
      </c>
      <c r="F41" s="86">
        <v>1</v>
      </c>
      <c r="H41" t="s">
        <v>409</v>
      </c>
    </row>
    <row r="42" spans="3:10" x14ac:dyDescent="0.25">
      <c r="C42" s="54" t="s">
        <v>378</v>
      </c>
      <c r="D42" s="77">
        <v>0</v>
      </c>
      <c r="E42" s="54" t="s">
        <v>378</v>
      </c>
      <c r="F42" s="78">
        <v>0</v>
      </c>
      <c r="H42" t="s">
        <v>410</v>
      </c>
    </row>
    <row r="43" spans="3:10" x14ac:dyDescent="0.25">
      <c r="C43" s="54" t="s">
        <v>393</v>
      </c>
      <c r="D43" s="68" t="s">
        <v>394</v>
      </c>
      <c r="E43" s="54" t="s">
        <v>393</v>
      </c>
      <c r="F43" s="55" t="s">
        <v>394</v>
      </c>
      <c r="H43" t="s">
        <v>411</v>
      </c>
    </row>
    <row r="44" spans="3:10" x14ac:dyDescent="0.25">
      <c r="C44" s="56">
        <v>1</v>
      </c>
      <c r="D44" s="69" t="s">
        <v>620</v>
      </c>
      <c r="E44" s="56">
        <v>0</v>
      </c>
      <c r="F44" s="57" t="s">
        <v>621</v>
      </c>
      <c r="H44" t="s">
        <v>413</v>
      </c>
    </row>
    <row r="45" spans="3:10" x14ac:dyDescent="0.25">
      <c r="C45" s="54" t="s">
        <v>395</v>
      </c>
      <c r="D45" s="68" t="s">
        <v>395</v>
      </c>
      <c r="E45" s="54" t="s">
        <v>395</v>
      </c>
      <c r="F45" s="55" t="s">
        <v>395</v>
      </c>
      <c r="H45" t="s">
        <v>417</v>
      </c>
    </row>
    <row r="46" spans="3:10" x14ac:dyDescent="0.25">
      <c r="C46" s="56">
        <v>2</v>
      </c>
      <c r="D46" s="69">
        <v>2</v>
      </c>
      <c r="E46" s="56">
        <v>0</v>
      </c>
      <c r="F46" s="57">
        <v>0</v>
      </c>
      <c r="H46" t="s">
        <v>444</v>
      </c>
    </row>
    <row r="47" spans="3:10" x14ac:dyDescent="0.25">
      <c r="C47" s="54" t="s">
        <v>396</v>
      </c>
      <c r="D47" s="68" t="s">
        <v>431</v>
      </c>
      <c r="E47" s="54" t="s">
        <v>396</v>
      </c>
      <c r="F47" s="55" t="s">
        <v>431</v>
      </c>
    </row>
    <row r="48" spans="3:10" x14ac:dyDescent="0.25">
      <c r="C48" s="70" t="s">
        <v>603</v>
      </c>
      <c r="D48" s="69">
        <v>0</v>
      </c>
      <c r="E48" s="70">
        <v>2</v>
      </c>
      <c r="F48" s="57">
        <v>0</v>
      </c>
    </row>
    <row r="49" spans="3:6" x14ac:dyDescent="0.25">
      <c r="C49" s="54" t="s">
        <v>397</v>
      </c>
      <c r="D49" s="68"/>
      <c r="E49" s="54" t="s">
        <v>397</v>
      </c>
      <c r="F49" s="55"/>
    </row>
    <row r="50" spans="3:6" ht="17.25" thickBot="1" x14ac:dyDescent="0.3">
      <c r="C50" s="71">
        <v>2</v>
      </c>
      <c r="D50" s="72"/>
      <c r="E50" s="71" t="s">
        <v>603</v>
      </c>
      <c r="F50" s="73"/>
    </row>
    <row r="53" spans="3:6" ht="17.25" thickBot="1" x14ac:dyDescent="0.3"/>
    <row r="54" spans="3:6" x14ac:dyDescent="0.25">
      <c r="C54" s="137" t="s">
        <v>404</v>
      </c>
      <c r="D54" s="141"/>
      <c r="F54" t="s">
        <v>420</v>
      </c>
    </row>
    <row r="55" spans="3:6" x14ac:dyDescent="0.25">
      <c r="C55" s="67" t="s">
        <v>377</v>
      </c>
      <c r="D55" s="86">
        <v>1</v>
      </c>
      <c r="F55" t="s">
        <v>441</v>
      </c>
    </row>
    <row r="56" spans="3:6" x14ac:dyDescent="0.25">
      <c r="C56" s="54" t="s">
        <v>378</v>
      </c>
      <c r="D56" s="80">
        <v>0</v>
      </c>
      <c r="F56" t="s">
        <v>407</v>
      </c>
    </row>
    <row r="57" spans="3:6" x14ac:dyDescent="0.25">
      <c r="C57" s="54" t="s">
        <v>405</v>
      </c>
      <c r="D57" s="55" t="s">
        <v>406</v>
      </c>
      <c r="F57" t="s">
        <v>408</v>
      </c>
    </row>
    <row r="58" spans="3:6" x14ac:dyDescent="0.25">
      <c r="C58" s="56">
        <v>9</v>
      </c>
      <c r="D58" s="57">
        <v>0</v>
      </c>
      <c r="F58" t="s">
        <v>412</v>
      </c>
    </row>
    <row r="59" spans="3:6" x14ac:dyDescent="0.25">
      <c r="C59" s="54" t="s">
        <v>54</v>
      </c>
      <c r="D59" s="55" t="s">
        <v>394</v>
      </c>
      <c r="F59" t="s">
        <v>414</v>
      </c>
    </row>
    <row r="60" spans="3:6" x14ac:dyDescent="0.25">
      <c r="C60" s="56">
        <v>0</v>
      </c>
      <c r="D60" s="57">
        <v>0</v>
      </c>
      <c r="F60" t="s">
        <v>415</v>
      </c>
    </row>
    <row r="61" spans="3:6" x14ac:dyDescent="0.25">
      <c r="C61" s="54" t="s">
        <v>395</v>
      </c>
      <c r="D61" s="55" t="s">
        <v>395</v>
      </c>
      <c r="F61" t="s">
        <v>416</v>
      </c>
    </row>
    <row r="62" spans="3:6" x14ac:dyDescent="0.25">
      <c r="C62" s="56">
        <v>0</v>
      </c>
      <c r="D62" s="57">
        <v>0</v>
      </c>
      <c r="F62" t="s">
        <v>445</v>
      </c>
    </row>
    <row r="63" spans="3:6" x14ac:dyDescent="0.25">
      <c r="C63" s="54" t="s">
        <v>396</v>
      </c>
      <c r="D63" s="55" t="s">
        <v>431</v>
      </c>
    </row>
    <row r="64" spans="3:6" x14ac:dyDescent="0.25">
      <c r="C64" s="70">
        <v>0</v>
      </c>
      <c r="D64" s="57">
        <v>0</v>
      </c>
    </row>
    <row r="65" spans="3:4" x14ac:dyDescent="0.25">
      <c r="C65" s="54" t="s">
        <v>397</v>
      </c>
      <c r="D65" s="55"/>
    </row>
    <row r="66" spans="3:4" x14ac:dyDescent="0.25">
      <c r="C66" s="70">
        <v>0</v>
      </c>
      <c r="D66" s="55"/>
    </row>
    <row r="67" spans="3:4" x14ac:dyDescent="0.25">
      <c r="C67" s="54" t="s">
        <v>442</v>
      </c>
      <c r="D67" s="55" t="s">
        <v>442</v>
      </c>
    </row>
    <row r="68" spans="3:4" ht="17.25" thickBot="1" x14ac:dyDescent="0.3">
      <c r="C68" s="58"/>
      <c r="D68" s="59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30"/>
  <sheetViews>
    <sheetView tabSelected="1" workbookViewId="0">
      <selection activeCell="D18" sqref="D18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3" width="9" style="18"/>
    <col min="14" max="14" width="23.375" style="18" bestFit="1" customWidth="1"/>
    <col min="15" max="15" width="13.25" style="18" bestFit="1" customWidth="1"/>
    <col min="16" max="16384" width="9" style="18"/>
  </cols>
  <sheetData>
    <row r="1" spans="1:15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15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  <c r="H2" s="89" t="s">
        <v>493</v>
      </c>
      <c r="I2" s="90" t="s">
        <v>490</v>
      </c>
      <c r="K2" s="89" t="s">
        <v>493</v>
      </c>
      <c r="L2" s="90" t="s">
        <v>490</v>
      </c>
      <c r="N2" s="89" t="s">
        <v>493</v>
      </c>
      <c r="O2" s="90" t="s">
        <v>490</v>
      </c>
    </row>
    <row r="3" spans="1:15" ht="17.25" thickBot="1" x14ac:dyDescent="0.3">
      <c r="A3" s="23" t="s">
        <v>484</v>
      </c>
      <c r="B3" s="24" t="s">
        <v>463</v>
      </c>
      <c r="C3" s="25" t="s">
        <v>3</v>
      </c>
      <c r="D3" s="16" t="s">
        <v>19</v>
      </c>
      <c r="E3" s="26" t="s">
        <v>68</v>
      </c>
      <c r="F3" s="27">
        <v>3.7</v>
      </c>
      <c r="H3" s="26" t="s">
        <v>494</v>
      </c>
      <c r="I3" s="101">
        <v>16</v>
      </c>
      <c r="K3" s="26" t="s">
        <v>496</v>
      </c>
      <c r="L3" s="91">
        <v>51</v>
      </c>
      <c r="N3" s="26" t="s">
        <v>562</v>
      </c>
      <c r="O3" s="91">
        <v>110</v>
      </c>
    </row>
    <row r="4" spans="1:15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0.01</v>
      </c>
      <c r="H4" s="26" t="s">
        <v>491</v>
      </c>
      <c r="I4" s="101">
        <v>27</v>
      </c>
      <c r="K4" s="26" t="s">
        <v>497</v>
      </c>
      <c r="L4" s="91">
        <v>67</v>
      </c>
      <c r="N4" s="26" t="s">
        <v>567</v>
      </c>
      <c r="O4" s="91">
        <v>120</v>
      </c>
    </row>
    <row r="5" spans="1:15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5.0000000000000001E-4</v>
      </c>
      <c r="H5" s="26" t="s">
        <v>492</v>
      </c>
      <c r="I5" s="101">
        <v>96</v>
      </c>
      <c r="K5" s="26" t="s">
        <v>498</v>
      </c>
      <c r="L5" s="91">
        <v>77</v>
      </c>
      <c r="N5" s="26"/>
      <c r="O5" s="91"/>
    </row>
    <row r="6" spans="1:15" ht="17.25" thickBot="1" x14ac:dyDescent="0.3">
      <c r="A6" s="16"/>
      <c r="B6" s="16"/>
      <c r="C6" s="28"/>
      <c r="D6" s="16"/>
      <c r="E6" s="30" t="s">
        <v>336</v>
      </c>
      <c r="F6" s="31" t="s">
        <v>613</v>
      </c>
      <c r="H6" s="30" t="s">
        <v>369</v>
      </c>
      <c r="I6" s="102">
        <v>38</v>
      </c>
      <c r="K6" s="30" t="s">
        <v>499</v>
      </c>
      <c r="L6" s="92">
        <v>86</v>
      </c>
      <c r="N6" s="30"/>
      <c r="O6" s="92"/>
    </row>
    <row r="7" spans="1:15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15" x14ac:dyDescent="0.25">
      <c r="A8" s="35" t="s">
        <v>5</v>
      </c>
      <c r="B8" s="36" t="s">
        <v>616</v>
      </c>
      <c r="C8" s="16"/>
      <c r="D8" s="16"/>
    </row>
    <row r="9" spans="1:15" x14ac:dyDescent="0.25">
      <c r="A9" s="35" t="s">
        <v>39</v>
      </c>
      <c r="B9" s="36" t="s">
        <v>41</v>
      </c>
      <c r="C9" s="16"/>
      <c r="D9" s="16" t="s">
        <v>40</v>
      </c>
    </row>
    <row r="10" spans="1:15" x14ac:dyDescent="0.25">
      <c r="A10" s="16" t="s">
        <v>42</v>
      </c>
      <c r="B10" s="37" t="s">
        <v>485</v>
      </c>
      <c r="C10" s="16"/>
      <c r="D10" s="16" t="s">
        <v>43</v>
      </c>
    </row>
    <row r="11" spans="1:15" x14ac:dyDescent="0.25">
      <c r="A11" s="16" t="s">
        <v>421</v>
      </c>
      <c r="B11" s="38">
        <v>0</v>
      </c>
      <c r="C11" s="16"/>
      <c r="D11" s="16" t="s">
        <v>440</v>
      </c>
    </row>
    <row r="12" spans="1:15" x14ac:dyDescent="0.25">
      <c r="A12" s="16" t="s">
        <v>446</v>
      </c>
      <c r="B12" s="38">
        <v>1</v>
      </c>
      <c r="C12" s="16"/>
      <c r="D12" s="16" t="s">
        <v>447</v>
      </c>
    </row>
    <row r="13" spans="1:15" x14ac:dyDescent="0.25">
      <c r="A13" s="16" t="s">
        <v>487</v>
      </c>
      <c r="B13" s="88">
        <v>0</v>
      </c>
      <c r="C13" s="87">
        <v>1</v>
      </c>
      <c r="D13" s="16" t="s">
        <v>461</v>
      </c>
    </row>
    <row r="14" spans="1:15" x14ac:dyDescent="0.25">
      <c r="A14" s="16" t="s">
        <v>22</v>
      </c>
      <c r="B14" s="88" t="s">
        <v>569</v>
      </c>
      <c r="C14" s="28"/>
      <c r="D14" s="16" t="s">
        <v>570</v>
      </c>
    </row>
    <row r="15" spans="1:15" x14ac:dyDescent="0.25">
      <c r="A15" s="16" t="s">
        <v>575</v>
      </c>
      <c r="B15" s="88">
        <v>4.5</v>
      </c>
      <c r="C15" s="28"/>
      <c r="D15" s="16" t="s">
        <v>576</v>
      </c>
    </row>
    <row r="16" spans="1:15" s="34" customFormat="1" x14ac:dyDescent="0.25">
      <c r="A16" s="32" t="s">
        <v>486</v>
      </c>
      <c r="B16" s="34" t="s">
        <v>24</v>
      </c>
      <c r="C16" s="34" t="s">
        <v>30</v>
      </c>
      <c r="D16" s="32"/>
      <c r="E16" s="34" t="s">
        <v>488</v>
      </c>
    </row>
    <row r="17" spans="1:5" x14ac:dyDescent="0.25">
      <c r="A17" s="16"/>
      <c r="B17" s="16" t="s">
        <v>7</v>
      </c>
      <c r="C17" s="38">
        <v>3.7</v>
      </c>
      <c r="D17" s="16"/>
    </row>
    <row r="18" spans="1:5" x14ac:dyDescent="0.25">
      <c r="A18" s="16"/>
      <c r="B18" s="16" t="s">
        <v>8</v>
      </c>
      <c r="C18" s="38">
        <v>6</v>
      </c>
      <c r="D18" s="16" t="s">
        <v>58</v>
      </c>
    </row>
    <row r="19" spans="1:5" x14ac:dyDescent="0.25">
      <c r="A19" s="16"/>
      <c r="B19" s="16" t="s">
        <v>9</v>
      </c>
      <c r="C19" s="38">
        <v>1.5</v>
      </c>
      <c r="D19" s="16" t="s">
        <v>70</v>
      </c>
    </row>
    <row r="20" spans="1:5" x14ac:dyDescent="0.25">
      <c r="A20" s="16"/>
      <c r="B20" s="16" t="s">
        <v>26</v>
      </c>
      <c r="C20" s="38">
        <v>1</v>
      </c>
      <c r="D20" s="16"/>
    </row>
    <row r="21" spans="1:5" x14ac:dyDescent="0.25">
      <c r="A21" s="16"/>
      <c r="B21" s="16" t="s">
        <v>57</v>
      </c>
      <c r="C21" s="38">
        <v>0.5</v>
      </c>
      <c r="D21" s="16"/>
    </row>
    <row r="22" spans="1:5" x14ac:dyDescent="0.25">
      <c r="A22" s="16"/>
      <c r="B22" s="16"/>
      <c r="C22" s="17"/>
      <c r="D22" s="16"/>
    </row>
    <row r="23" spans="1:5" x14ac:dyDescent="0.25">
      <c r="A23" s="16"/>
      <c r="B23" s="16"/>
      <c r="C23" s="17"/>
      <c r="D23" s="16"/>
    </row>
    <row r="24" spans="1:5" x14ac:dyDescent="0.25">
      <c r="A24" s="16"/>
      <c r="B24" s="16"/>
      <c r="C24" s="17"/>
      <c r="D24" s="16"/>
    </row>
    <row r="25" spans="1:5" x14ac:dyDescent="0.25">
      <c r="A25" s="16"/>
      <c r="B25" s="16"/>
      <c r="C25" s="17"/>
      <c r="D25" s="16"/>
    </row>
    <row r="26" spans="1:5" x14ac:dyDescent="0.25">
      <c r="A26" s="16"/>
      <c r="D26" s="16"/>
    </row>
    <row r="27" spans="1:5" s="34" customFormat="1" x14ac:dyDescent="0.25">
      <c r="A27" s="32" t="s">
        <v>27</v>
      </c>
      <c r="B27" s="32" t="s">
        <v>28</v>
      </c>
      <c r="C27" s="32" t="s">
        <v>588</v>
      </c>
      <c r="D27" s="32" t="s">
        <v>11</v>
      </c>
      <c r="E27" s="34" t="s">
        <v>488</v>
      </c>
    </row>
    <row r="28" spans="1:5" x14ac:dyDescent="0.25">
      <c r="A28" s="16"/>
      <c r="B28" s="16" t="s">
        <v>46</v>
      </c>
      <c r="C28" s="38">
        <v>1</v>
      </c>
      <c r="D28" s="39" t="s">
        <v>617</v>
      </c>
    </row>
    <row r="29" spans="1:5" x14ac:dyDescent="0.25">
      <c r="A29" s="16" t="s">
        <v>524</v>
      </c>
      <c r="B29" s="16" t="s">
        <v>45</v>
      </c>
      <c r="C29" s="38">
        <v>20</v>
      </c>
      <c r="D29" s="39" t="s">
        <v>618</v>
      </c>
    </row>
    <row r="30" spans="1:5" x14ac:dyDescent="0.25">
      <c r="A30" s="16" t="s">
        <v>525</v>
      </c>
      <c r="B30" s="16" t="s">
        <v>44</v>
      </c>
      <c r="C30" s="38">
        <v>21</v>
      </c>
      <c r="D30" s="39" t="s">
        <v>618</v>
      </c>
    </row>
    <row r="31" spans="1:5" x14ac:dyDescent="0.25">
      <c r="A31" s="16"/>
      <c r="B31" s="16" t="s">
        <v>47</v>
      </c>
      <c r="C31" s="38">
        <v>7</v>
      </c>
      <c r="D31" s="39" t="s">
        <v>619</v>
      </c>
    </row>
    <row r="32" spans="1:5" x14ac:dyDescent="0.25">
      <c r="A32" s="16"/>
      <c r="B32" s="16" t="s">
        <v>358</v>
      </c>
      <c r="C32" s="38">
        <v>24</v>
      </c>
      <c r="D32" s="39" t="s">
        <v>622</v>
      </c>
    </row>
    <row r="33" spans="1:5" x14ac:dyDescent="0.25">
      <c r="A33" s="16"/>
      <c r="B33" s="16" t="s">
        <v>466</v>
      </c>
      <c r="C33" s="38">
        <v>10</v>
      </c>
      <c r="D33" s="39" t="s">
        <v>623</v>
      </c>
    </row>
    <row r="34" spans="1:5" x14ac:dyDescent="0.25">
      <c r="A34" s="16"/>
      <c r="B34" s="16"/>
      <c r="C34" s="17"/>
      <c r="D34" s="40"/>
    </row>
    <row r="35" spans="1:5" x14ac:dyDescent="0.25">
      <c r="A35" s="16"/>
    </row>
    <row r="36" spans="1:5" x14ac:dyDescent="0.25">
      <c r="A36" s="16"/>
    </row>
    <row r="37" spans="1:5" s="94" customFormat="1" x14ac:dyDescent="0.25">
      <c r="A37" s="93"/>
      <c r="B37" s="94" t="s">
        <v>550</v>
      </c>
      <c r="C37" s="94" t="s">
        <v>25</v>
      </c>
      <c r="D37" s="94" t="s">
        <v>552</v>
      </c>
      <c r="E37" s="94" t="s">
        <v>551</v>
      </c>
    </row>
    <row r="38" spans="1:5" s="34" customFormat="1" x14ac:dyDescent="0.25">
      <c r="A38" s="34" t="s">
        <v>544</v>
      </c>
      <c r="B38" s="34" t="s">
        <v>24</v>
      </c>
      <c r="C38" s="34" t="s">
        <v>30</v>
      </c>
      <c r="D38" s="34" t="s">
        <v>31</v>
      </c>
      <c r="E38" s="34" t="s">
        <v>553</v>
      </c>
    </row>
    <row r="39" spans="1:5" x14ac:dyDescent="0.25">
      <c r="B39" s="16" t="s">
        <v>517</v>
      </c>
      <c r="C39" s="38">
        <v>3.7</v>
      </c>
      <c r="E39" s="18" t="s">
        <v>553</v>
      </c>
    </row>
    <row r="40" spans="1:5" x14ac:dyDescent="0.25">
      <c r="B40" s="16" t="s">
        <v>518</v>
      </c>
      <c r="C40" s="38">
        <v>0.5</v>
      </c>
      <c r="E40" s="18" t="s">
        <v>553</v>
      </c>
    </row>
    <row r="41" spans="1:5" x14ac:dyDescent="0.25">
      <c r="B41" s="16" t="s">
        <v>500</v>
      </c>
      <c r="C41" s="38">
        <v>3</v>
      </c>
      <c r="D41" s="18" t="s">
        <v>609</v>
      </c>
      <c r="E41" s="18" t="s">
        <v>553</v>
      </c>
    </row>
    <row r="42" spans="1:5" x14ac:dyDescent="0.25">
      <c r="B42" s="16" t="s">
        <v>501</v>
      </c>
      <c r="C42" s="38" t="s">
        <v>448</v>
      </c>
      <c r="D42" s="18" t="s">
        <v>519</v>
      </c>
      <c r="E42" s="18" t="s">
        <v>553</v>
      </c>
    </row>
    <row r="43" spans="1:5" x14ac:dyDescent="0.25">
      <c r="B43" s="16" t="s">
        <v>48</v>
      </c>
      <c r="C43" s="38">
        <v>3</v>
      </c>
      <c r="D43" s="18" t="s">
        <v>608</v>
      </c>
      <c r="E43" s="18" t="s">
        <v>553</v>
      </c>
    </row>
    <row r="44" spans="1:5" x14ac:dyDescent="0.25">
      <c r="B44" s="18" t="s">
        <v>435</v>
      </c>
      <c r="C44" s="41">
        <v>1</v>
      </c>
      <c r="D44" s="18" t="s">
        <v>438</v>
      </c>
      <c r="E44" s="18" t="s">
        <v>553</v>
      </c>
    </row>
    <row r="45" spans="1:5" x14ac:dyDescent="0.25">
      <c r="B45" s="18" t="s">
        <v>436</v>
      </c>
      <c r="C45" s="41">
        <v>2</v>
      </c>
      <c r="D45" s="18" t="s">
        <v>439</v>
      </c>
      <c r="E45" s="18" t="s">
        <v>553</v>
      </c>
    </row>
    <row r="46" spans="1:5" x14ac:dyDescent="0.25">
      <c r="B46" s="18" t="s">
        <v>37</v>
      </c>
      <c r="C46" s="41">
        <v>0.5</v>
      </c>
      <c r="D46" s="18" t="s">
        <v>38</v>
      </c>
      <c r="E46" s="18" t="s">
        <v>553</v>
      </c>
    </row>
    <row r="47" spans="1:5" x14ac:dyDescent="0.25">
      <c r="B47" s="18" t="s">
        <v>63</v>
      </c>
      <c r="C47" s="41">
        <v>0.01</v>
      </c>
      <c r="D47" s="18" t="s">
        <v>64</v>
      </c>
      <c r="E47" s="18" t="s">
        <v>553</v>
      </c>
    </row>
    <row r="48" spans="1:5" x14ac:dyDescent="0.25">
      <c r="C48" s="41"/>
    </row>
    <row r="49" spans="1:5" x14ac:dyDescent="0.25">
      <c r="C49" s="41"/>
    </row>
    <row r="50" spans="1:5" x14ac:dyDescent="0.25">
      <c r="C50" s="41"/>
    </row>
    <row r="51" spans="1:5" x14ac:dyDescent="0.25">
      <c r="A51" s="34" t="s">
        <v>545</v>
      </c>
      <c r="B51" s="34" t="s">
        <v>24</v>
      </c>
      <c r="C51" s="34" t="s">
        <v>30</v>
      </c>
      <c r="D51" s="34" t="s">
        <v>31</v>
      </c>
      <c r="E51" s="34" t="s">
        <v>554</v>
      </c>
    </row>
    <row r="52" spans="1:5" x14ac:dyDescent="0.25">
      <c r="B52" s="16" t="s">
        <v>500</v>
      </c>
      <c r="C52" s="38">
        <v>1</v>
      </c>
      <c r="E52" s="18" t="s">
        <v>554</v>
      </c>
    </row>
    <row r="53" spans="1:5" x14ac:dyDescent="0.25">
      <c r="B53" s="16" t="s">
        <v>503</v>
      </c>
      <c r="C53" s="38" t="s">
        <v>55</v>
      </c>
      <c r="D53" s="18" t="s">
        <v>520</v>
      </c>
      <c r="E53" s="18" t="s">
        <v>554</v>
      </c>
    </row>
    <row r="54" spans="1:5" x14ac:dyDescent="0.25">
      <c r="B54" s="18" t="s">
        <v>705</v>
      </c>
      <c r="C54" s="41">
        <v>7.6000000000000004E-5</v>
      </c>
      <c r="D54" s="18" t="s">
        <v>347</v>
      </c>
      <c r="E54" s="18" t="s">
        <v>554</v>
      </c>
    </row>
    <row r="55" spans="1:5" x14ac:dyDescent="0.25">
      <c r="B55" s="18" t="s">
        <v>706</v>
      </c>
      <c r="C55" s="41">
        <v>8.5000000000000006E-5</v>
      </c>
      <c r="D55" s="18" t="s">
        <v>348</v>
      </c>
      <c r="E55" s="18" t="s">
        <v>554</v>
      </c>
    </row>
    <row r="56" spans="1:5" x14ac:dyDescent="0.25">
      <c r="B56" s="16" t="s">
        <v>53</v>
      </c>
      <c r="C56" s="38">
        <v>1</v>
      </c>
      <c r="D56" s="18" t="s">
        <v>60</v>
      </c>
      <c r="E56" s="18" t="s">
        <v>554</v>
      </c>
    </row>
    <row r="57" spans="1:5" x14ac:dyDescent="0.25">
      <c r="B57" s="17" t="s">
        <v>568</v>
      </c>
      <c r="C57" s="41" t="s">
        <v>448</v>
      </c>
      <c r="D57" s="18" t="s">
        <v>56</v>
      </c>
      <c r="E57" s="18" t="s">
        <v>554</v>
      </c>
    </row>
    <row r="58" spans="1:5" x14ac:dyDescent="0.25">
      <c r="B58" s="16" t="s">
        <v>59</v>
      </c>
      <c r="C58" s="41">
        <v>2</v>
      </c>
      <c r="D58" s="18" t="s">
        <v>61</v>
      </c>
      <c r="E58" s="18" t="s">
        <v>554</v>
      </c>
    </row>
    <row r="59" spans="1:5" x14ac:dyDescent="0.25">
      <c r="B59" s="16" t="s">
        <v>343</v>
      </c>
      <c r="C59" s="41">
        <v>1</v>
      </c>
      <c r="D59" s="18" t="s">
        <v>344</v>
      </c>
      <c r="E59" s="18" t="s">
        <v>554</v>
      </c>
    </row>
    <row r="60" spans="1:5" x14ac:dyDescent="0.25">
      <c r="B60" s="16" t="s">
        <v>707</v>
      </c>
      <c r="C60" s="41">
        <v>0</v>
      </c>
      <c r="D60" s="18" t="s">
        <v>709</v>
      </c>
      <c r="E60" s="18" t="s">
        <v>554</v>
      </c>
    </row>
    <row r="61" spans="1:5" x14ac:dyDescent="0.25">
      <c r="B61" s="16" t="s">
        <v>708</v>
      </c>
      <c r="C61" s="41">
        <v>0</v>
      </c>
      <c r="D61" s="18" t="s">
        <v>710</v>
      </c>
      <c r="E61" s="18" t="s">
        <v>554</v>
      </c>
    </row>
    <row r="62" spans="1:5" x14ac:dyDescent="0.25">
      <c r="B62" s="16"/>
      <c r="C62" s="41"/>
    </row>
    <row r="63" spans="1:5" x14ac:dyDescent="0.25">
      <c r="B63" s="16"/>
      <c r="C63" s="41"/>
    </row>
    <row r="64" spans="1:5" x14ac:dyDescent="0.25">
      <c r="B64" s="16"/>
      <c r="C64" s="41"/>
    </row>
    <row r="65" spans="1:5" x14ac:dyDescent="0.25">
      <c r="B65" s="16"/>
      <c r="C65" s="41"/>
    </row>
    <row r="66" spans="1:5" x14ac:dyDescent="0.25">
      <c r="B66" s="16"/>
      <c r="C66" s="41"/>
    </row>
    <row r="67" spans="1:5" x14ac:dyDescent="0.25">
      <c r="A67" s="34" t="s">
        <v>546</v>
      </c>
      <c r="B67" s="34" t="s">
        <v>24</v>
      </c>
      <c r="C67" s="34" t="s">
        <v>30</v>
      </c>
      <c r="D67" s="34" t="s">
        <v>31</v>
      </c>
      <c r="E67" s="34" t="s">
        <v>556</v>
      </c>
    </row>
    <row r="68" spans="1:5" x14ac:dyDescent="0.25">
      <c r="B68" s="16" t="s">
        <v>517</v>
      </c>
      <c r="C68" s="41">
        <v>0</v>
      </c>
      <c r="D68" s="18" t="s">
        <v>522</v>
      </c>
      <c r="E68" s="18" t="s">
        <v>555</v>
      </c>
    </row>
    <row r="69" spans="1:5" x14ac:dyDescent="0.25">
      <c r="B69" s="16" t="s">
        <v>518</v>
      </c>
      <c r="C69" s="41">
        <v>0</v>
      </c>
      <c r="D69" s="18" t="s">
        <v>523</v>
      </c>
      <c r="E69" s="18" t="s">
        <v>555</v>
      </c>
    </row>
    <row r="70" spans="1:5" x14ac:dyDescent="0.25">
      <c r="B70" s="16" t="s">
        <v>501</v>
      </c>
      <c r="C70" s="41" t="s">
        <v>448</v>
      </c>
      <c r="E70" s="18" t="s">
        <v>555</v>
      </c>
    </row>
    <row r="71" spans="1:5" x14ac:dyDescent="0.25">
      <c r="B71" s="16" t="s">
        <v>505</v>
      </c>
      <c r="C71" s="41" t="s">
        <v>362</v>
      </c>
      <c r="D71" s="18" t="s">
        <v>516</v>
      </c>
      <c r="E71" s="18" t="s">
        <v>555</v>
      </c>
    </row>
    <row r="72" spans="1:5" x14ac:dyDescent="0.25">
      <c r="B72" s="16" t="s">
        <v>506</v>
      </c>
      <c r="C72" s="41">
        <v>15</v>
      </c>
      <c r="D72" s="18" t="s">
        <v>521</v>
      </c>
      <c r="E72" s="18" t="s">
        <v>555</v>
      </c>
    </row>
    <row r="73" spans="1:5" x14ac:dyDescent="0.25">
      <c r="B73" s="16"/>
      <c r="C73" s="41"/>
    </row>
    <row r="74" spans="1:5" x14ac:dyDescent="0.25">
      <c r="B74" s="16"/>
      <c r="C74" s="41"/>
    </row>
    <row r="75" spans="1:5" x14ac:dyDescent="0.25">
      <c r="B75" s="16"/>
      <c r="C75" s="41"/>
    </row>
    <row r="76" spans="1:5" x14ac:dyDescent="0.25">
      <c r="B76" s="16"/>
      <c r="C76" s="41"/>
    </row>
    <row r="77" spans="1:5" x14ac:dyDescent="0.25">
      <c r="A77" s="34" t="s">
        <v>547</v>
      </c>
      <c r="B77" s="34" t="s">
        <v>24</v>
      </c>
      <c r="C77" s="34" t="s">
        <v>30</v>
      </c>
      <c r="D77" s="34" t="s">
        <v>31</v>
      </c>
      <c r="E77" s="34" t="s">
        <v>557</v>
      </c>
    </row>
    <row r="78" spans="1:5" x14ac:dyDescent="0.25">
      <c r="B78" s="16" t="s">
        <v>515</v>
      </c>
      <c r="C78" s="38">
        <v>1E-4</v>
      </c>
      <c r="D78" s="18" t="s">
        <v>51</v>
      </c>
      <c r="E78" s="18" t="s">
        <v>557</v>
      </c>
    </row>
    <row r="79" spans="1:5" x14ac:dyDescent="0.25">
      <c r="B79" s="16" t="s">
        <v>514</v>
      </c>
      <c r="C79" s="41">
        <v>7</v>
      </c>
      <c r="E79" s="18" t="s">
        <v>557</v>
      </c>
    </row>
    <row r="80" spans="1:5" x14ac:dyDescent="0.25">
      <c r="B80" s="16" t="s">
        <v>513</v>
      </c>
      <c r="C80" s="38">
        <v>9.9999999999999995E-7</v>
      </c>
      <c r="D80" s="18" t="s">
        <v>52</v>
      </c>
      <c r="E80" s="18" t="s">
        <v>557</v>
      </c>
    </row>
    <row r="81" spans="1:5" x14ac:dyDescent="0.25">
      <c r="B81" s="16" t="s">
        <v>512</v>
      </c>
      <c r="C81" s="41">
        <v>2</v>
      </c>
      <c r="E81" s="18" t="s">
        <v>557</v>
      </c>
    </row>
    <row r="82" spans="1:5" x14ac:dyDescent="0.25">
      <c r="B82" s="16"/>
      <c r="C82" s="41"/>
    </row>
    <row r="83" spans="1:5" x14ac:dyDescent="0.25">
      <c r="B83" s="16"/>
      <c r="C83" s="41"/>
    </row>
    <row r="84" spans="1:5" x14ac:dyDescent="0.25">
      <c r="B84" s="16"/>
      <c r="C84" s="41"/>
    </row>
    <row r="85" spans="1:5" x14ac:dyDescent="0.25">
      <c r="B85" s="16"/>
      <c r="C85" s="41"/>
    </row>
    <row r="86" spans="1:5" x14ac:dyDescent="0.25">
      <c r="A86" s="34" t="s">
        <v>548</v>
      </c>
      <c r="B86" s="34" t="s">
        <v>24</v>
      </c>
      <c r="C86" s="34" t="s">
        <v>30</v>
      </c>
      <c r="D86" s="34" t="s">
        <v>31</v>
      </c>
      <c r="E86" s="34" t="s">
        <v>558</v>
      </c>
    </row>
    <row r="87" spans="1:5" x14ac:dyDescent="0.25">
      <c r="B87" s="16" t="s">
        <v>509</v>
      </c>
      <c r="C87" s="41">
        <v>25</v>
      </c>
      <c r="E87" s="18" t="s">
        <v>558</v>
      </c>
    </row>
    <row r="88" spans="1:5" x14ac:dyDescent="0.25">
      <c r="B88" s="16" t="s">
        <v>501</v>
      </c>
      <c r="C88" s="41" t="s">
        <v>448</v>
      </c>
      <c r="E88" s="18" t="s">
        <v>558</v>
      </c>
    </row>
    <row r="89" spans="1:5" x14ac:dyDescent="0.25">
      <c r="B89" s="17" t="s">
        <v>510</v>
      </c>
      <c r="C89" s="41">
        <v>-45</v>
      </c>
      <c r="E89" s="18" t="s">
        <v>558</v>
      </c>
    </row>
    <row r="90" spans="1:5" x14ac:dyDescent="0.25">
      <c r="B90" s="17" t="s">
        <v>511</v>
      </c>
      <c r="C90" s="41">
        <v>185</v>
      </c>
      <c r="E90" s="18" t="s">
        <v>558</v>
      </c>
    </row>
    <row r="91" spans="1:5" x14ac:dyDescent="0.25">
      <c r="B91" s="18" t="s">
        <v>542</v>
      </c>
      <c r="C91" s="41">
        <v>0</v>
      </c>
      <c r="D91" s="18" t="s">
        <v>543</v>
      </c>
      <c r="E91" s="18" t="s">
        <v>558</v>
      </c>
    </row>
    <row r="92" spans="1:5" x14ac:dyDescent="0.25">
      <c r="C92" s="41"/>
    </row>
    <row r="93" spans="1:5" x14ac:dyDescent="0.25">
      <c r="C93" s="41"/>
    </row>
    <row r="94" spans="1:5" x14ac:dyDescent="0.25">
      <c r="C94" s="41"/>
    </row>
    <row r="95" spans="1:5" x14ac:dyDescent="0.25">
      <c r="C95" s="41"/>
    </row>
    <row r="96" spans="1:5" x14ac:dyDescent="0.25">
      <c r="A96" s="34" t="s">
        <v>549</v>
      </c>
      <c r="B96" s="34" t="s">
        <v>24</v>
      </c>
      <c r="C96" s="34" t="s">
        <v>30</v>
      </c>
      <c r="D96" s="34" t="s">
        <v>31</v>
      </c>
      <c r="E96" s="34" t="s">
        <v>559</v>
      </c>
    </row>
    <row r="97" spans="1:5" x14ac:dyDescent="0.25">
      <c r="B97" s="16" t="s">
        <v>14</v>
      </c>
      <c r="C97" s="38">
        <v>4</v>
      </c>
      <c r="D97" s="18" t="s">
        <v>35</v>
      </c>
      <c r="E97" s="18" t="s">
        <v>559</v>
      </c>
    </row>
    <row r="98" spans="1:5" x14ac:dyDescent="0.25">
      <c r="B98" s="16" t="s">
        <v>62</v>
      </c>
      <c r="C98" s="38">
        <v>0.8</v>
      </c>
      <c r="D98" s="18" t="s">
        <v>36</v>
      </c>
      <c r="E98" s="18" t="s">
        <v>559</v>
      </c>
    </row>
    <row r="99" spans="1:5" x14ac:dyDescent="0.25">
      <c r="B99" s="18" t="s">
        <v>354</v>
      </c>
      <c r="C99" s="41">
        <v>25</v>
      </c>
      <c r="D99" s="18" t="s">
        <v>356</v>
      </c>
      <c r="E99" s="18" t="s">
        <v>559</v>
      </c>
    </row>
    <row r="100" spans="1:5" x14ac:dyDescent="0.25">
      <c r="B100" s="18" t="s">
        <v>355</v>
      </c>
      <c r="C100" s="41">
        <v>3</v>
      </c>
      <c r="D100" s="18" t="s">
        <v>357</v>
      </c>
      <c r="E100" s="18" t="s">
        <v>559</v>
      </c>
    </row>
    <row r="101" spans="1:5" x14ac:dyDescent="0.25">
      <c r="B101" s="18" t="s">
        <v>589</v>
      </c>
      <c r="C101" s="41">
        <v>1</v>
      </c>
      <c r="D101" s="18" t="s">
        <v>527</v>
      </c>
      <c r="E101" s="18" t="s">
        <v>559</v>
      </c>
    </row>
    <row r="102" spans="1:5" x14ac:dyDescent="0.25">
      <c r="B102" s="18" t="s">
        <v>528</v>
      </c>
      <c r="C102" s="41">
        <v>0</v>
      </c>
      <c r="D102" s="18" t="s">
        <v>529</v>
      </c>
      <c r="E102" s="18" t="s">
        <v>559</v>
      </c>
    </row>
    <row r="103" spans="1:5" x14ac:dyDescent="0.25">
      <c r="B103" s="18" t="s">
        <v>530</v>
      </c>
      <c r="C103" s="41">
        <v>0</v>
      </c>
      <c r="D103" s="18" t="s">
        <v>531</v>
      </c>
      <c r="E103" s="18" t="s">
        <v>559</v>
      </c>
    </row>
    <row r="104" spans="1:5" x14ac:dyDescent="0.25">
      <c r="B104" s="18" t="s">
        <v>532</v>
      </c>
      <c r="C104" s="41">
        <v>0</v>
      </c>
      <c r="D104" s="18" t="s">
        <v>711</v>
      </c>
      <c r="E104" s="18" t="s">
        <v>559</v>
      </c>
    </row>
    <row r="105" spans="1:5" x14ac:dyDescent="0.25">
      <c r="B105" s="18" t="s">
        <v>586</v>
      </c>
      <c r="C105" s="41">
        <v>0.05</v>
      </c>
      <c r="D105" s="18" t="s">
        <v>587</v>
      </c>
      <c r="E105" s="18" t="s">
        <v>559</v>
      </c>
    </row>
    <row r="106" spans="1:5" x14ac:dyDescent="0.25">
      <c r="C106" s="41"/>
    </row>
    <row r="107" spans="1:5" x14ac:dyDescent="0.25">
      <c r="C107" s="41"/>
    </row>
    <row r="108" spans="1:5" x14ac:dyDescent="0.25">
      <c r="C108" s="41"/>
    </row>
    <row r="109" spans="1:5" x14ac:dyDescent="0.25">
      <c r="C109" s="41"/>
    </row>
    <row r="110" spans="1:5" x14ac:dyDescent="0.25">
      <c r="A110" s="34" t="s">
        <v>560</v>
      </c>
      <c r="B110" s="34" t="s">
        <v>24</v>
      </c>
      <c r="C110" s="34" t="s">
        <v>30</v>
      </c>
      <c r="D110" s="34" t="s">
        <v>31</v>
      </c>
      <c r="E110" s="34" t="s">
        <v>561</v>
      </c>
    </row>
    <row r="111" spans="1:5" x14ac:dyDescent="0.25">
      <c r="B111" t="s">
        <v>565</v>
      </c>
      <c r="C111" s="74">
        <v>1E-4</v>
      </c>
      <c r="D111" t="s">
        <v>566</v>
      </c>
      <c r="E111" s="18" t="s">
        <v>561</v>
      </c>
    </row>
    <row r="112" spans="1:5" x14ac:dyDescent="0.25">
      <c r="C112" s="41"/>
    </row>
    <row r="113" spans="1:5" x14ac:dyDescent="0.25">
      <c r="C113" s="41"/>
    </row>
    <row r="114" spans="1:5" x14ac:dyDescent="0.25">
      <c r="C114" s="41"/>
    </row>
    <row r="115" spans="1:5" x14ac:dyDescent="0.25">
      <c r="B115" s="16"/>
      <c r="C115" s="38"/>
    </row>
    <row r="116" spans="1:5" x14ac:dyDescent="0.25">
      <c r="B116" s="16"/>
      <c r="C116" s="38"/>
    </row>
    <row r="117" spans="1:5" x14ac:dyDescent="0.25">
      <c r="B117" s="16"/>
      <c r="C117" s="38"/>
    </row>
    <row r="118" spans="1:5" x14ac:dyDescent="0.25">
      <c r="B118" s="16"/>
      <c r="C118" s="38"/>
    </row>
    <row r="119" spans="1:5" x14ac:dyDescent="0.25">
      <c r="B119" s="16"/>
      <c r="C119" s="38"/>
    </row>
    <row r="120" spans="1:5" x14ac:dyDescent="0.25">
      <c r="A120" s="34" t="s">
        <v>563</v>
      </c>
      <c r="B120" s="34" t="s">
        <v>24</v>
      </c>
      <c r="C120" s="34" t="s">
        <v>30</v>
      </c>
      <c r="D120" s="34" t="s">
        <v>31</v>
      </c>
      <c r="E120" s="34" t="s">
        <v>564</v>
      </c>
    </row>
    <row r="121" spans="1:5" x14ac:dyDescent="0.25">
      <c r="B121" s="18" t="s">
        <v>337</v>
      </c>
      <c r="C121" s="41">
        <v>0</v>
      </c>
      <c r="D121" s="18" t="s">
        <v>338</v>
      </c>
      <c r="E121" s="18" t="s">
        <v>564</v>
      </c>
    </row>
    <row r="122" spans="1:5" x14ac:dyDescent="0.25">
      <c r="B122" s="18" t="s">
        <v>328</v>
      </c>
      <c r="C122" s="41">
        <v>1</v>
      </c>
      <c r="D122" s="18" t="s">
        <v>329</v>
      </c>
      <c r="E122" s="18" t="s">
        <v>564</v>
      </c>
    </row>
    <row r="123" spans="1:5" x14ac:dyDescent="0.25">
      <c r="B123" s="18" t="s">
        <v>364</v>
      </c>
      <c r="C123" s="41">
        <v>0</v>
      </c>
      <c r="D123" s="18" t="s">
        <v>365</v>
      </c>
      <c r="E123" s="18" t="s">
        <v>564</v>
      </c>
    </row>
    <row r="124" spans="1:5" x14ac:dyDescent="0.25">
      <c r="B124" s="18" t="s">
        <v>473</v>
      </c>
      <c r="C124" s="41">
        <v>0</v>
      </c>
      <c r="D124" s="18" t="s">
        <v>474</v>
      </c>
      <c r="E124" s="18" t="s">
        <v>564</v>
      </c>
    </row>
    <row r="125" spans="1:5" x14ac:dyDescent="0.25">
      <c r="B125" s="17" t="s">
        <v>611</v>
      </c>
      <c r="C125" s="41">
        <v>0</v>
      </c>
      <c r="D125" s="18" t="s">
        <v>612</v>
      </c>
      <c r="E125" s="18" t="s">
        <v>564</v>
      </c>
    </row>
    <row r="126" spans="1:5" x14ac:dyDescent="0.25">
      <c r="B126" s="18" t="s">
        <v>614</v>
      </c>
      <c r="C126" s="41">
        <v>0</v>
      </c>
      <c r="D126" s="18" t="s">
        <v>615</v>
      </c>
      <c r="E126" s="18" t="s">
        <v>564</v>
      </c>
    </row>
    <row r="130" spans="1:5" x14ac:dyDescent="0.25">
      <c r="A130" s="34" t="s">
        <v>702</v>
      </c>
      <c r="B130" s="34" t="s">
        <v>24</v>
      </c>
      <c r="C130" s="34" t="s">
        <v>30</v>
      </c>
      <c r="D130" s="34" t="s">
        <v>31</v>
      </c>
      <c r="E130" s="34" t="s">
        <v>701</v>
      </c>
    </row>
  </sheetData>
  <autoFilter ref="A37:L111" xr:uid="{F0BBC4F9-3D41-4AA6-9481-0329C8EAA401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workbookViewId="0"/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75</v>
      </c>
      <c r="B1" s="7">
        <f>COUNTA(B3:B202)/D1</f>
        <v>5</v>
      </c>
      <c r="C1" s="8" t="s">
        <v>76</v>
      </c>
      <c r="D1" s="9">
        <v>4</v>
      </c>
    </row>
    <row r="2" spans="1:7" x14ac:dyDescent="0.25">
      <c r="B2" s="14" t="s">
        <v>320</v>
      </c>
      <c r="C2" s="11" t="s">
        <v>321</v>
      </c>
    </row>
    <row r="3" spans="1:7" x14ac:dyDescent="0.25">
      <c r="A3" s="6" t="s">
        <v>80</v>
      </c>
      <c r="B3" s="12" t="s">
        <v>81</v>
      </c>
      <c r="C3" s="13" t="s">
        <v>82</v>
      </c>
    </row>
    <row r="4" spans="1:7" x14ac:dyDescent="0.25">
      <c r="A4" s="6" t="s">
        <v>84</v>
      </c>
      <c r="B4" s="12" t="s">
        <v>83</v>
      </c>
      <c r="C4" s="12" t="s">
        <v>85</v>
      </c>
    </row>
    <row r="5" spans="1:7" x14ac:dyDescent="0.25">
      <c r="A5" s="6" t="s">
        <v>86</v>
      </c>
      <c r="B5" s="12" t="s">
        <v>87</v>
      </c>
      <c r="C5" s="12" t="s">
        <v>88</v>
      </c>
      <c r="F5" s="6" t="s">
        <v>77</v>
      </c>
    </row>
    <row r="6" spans="1:7" x14ac:dyDescent="0.25">
      <c r="A6" s="6" t="s">
        <v>89</v>
      </c>
      <c r="B6" s="12" t="s">
        <v>90</v>
      </c>
      <c r="C6" s="12" t="s">
        <v>91</v>
      </c>
      <c r="F6" s="6" t="s">
        <v>78</v>
      </c>
      <c r="G6" s="6" t="s">
        <v>79</v>
      </c>
    </row>
    <row r="7" spans="1:7" x14ac:dyDescent="0.25">
      <c r="A7" s="6" t="s">
        <v>92</v>
      </c>
      <c r="B7" s="12" t="s">
        <v>93</v>
      </c>
      <c r="C7" s="12" t="s">
        <v>94</v>
      </c>
      <c r="F7" s="9" t="s">
        <v>83</v>
      </c>
      <c r="G7" s="10">
        <f>HEX2DEC(F7)</f>
        <v>197</v>
      </c>
    </row>
    <row r="8" spans="1:7" x14ac:dyDescent="0.25">
      <c r="A8" s="6" t="s">
        <v>95</v>
      </c>
      <c r="B8" s="12" t="s">
        <v>96</v>
      </c>
      <c r="C8" s="12" t="s">
        <v>97</v>
      </c>
      <c r="F8" s="10" t="str">
        <f>DEC2HEX(G8)</f>
        <v>1F</v>
      </c>
      <c r="G8" s="9">
        <v>31</v>
      </c>
    </row>
    <row r="9" spans="1:7" x14ac:dyDescent="0.25">
      <c r="A9" s="6" t="s">
        <v>98</v>
      </c>
      <c r="B9" s="12" t="s">
        <v>99</v>
      </c>
      <c r="C9" s="12" t="s">
        <v>100</v>
      </c>
    </row>
    <row r="10" spans="1:7" x14ac:dyDescent="0.25">
      <c r="A10" s="6" t="s">
        <v>101</v>
      </c>
      <c r="B10" s="12" t="s">
        <v>102</v>
      </c>
      <c r="C10" s="12" t="s">
        <v>103</v>
      </c>
      <c r="F10" s="6" t="s">
        <v>322</v>
      </c>
    </row>
    <row r="11" spans="1:7" x14ac:dyDescent="0.25">
      <c r="A11" s="6" t="s">
        <v>104</v>
      </c>
      <c r="B11" s="12" t="s">
        <v>105</v>
      </c>
      <c r="C11" s="12" t="s">
        <v>106</v>
      </c>
      <c r="F11" s="6" t="s">
        <v>323</v>
      </c>
    </row>
    <row r="12" spans="1:7" x14ac:dyDescent="0.25">
      <c r="A12" s="6" t="s">
        <v>107</v>
      </c>
      <c r="B12" s="12" t="s">
        <v>108</v>
      </c>
      <c r="C12" s="12" t="s">
        <v>109</v>
      </c>
      <c r="F12" s="6" t="s">
        <v>324</v>
      </c>
    </row>
    <row r="13" spans="1:7" x14ac:dyDescent="0.25">
      <c r="A13" s="6" t="s">
        <v>110</v>
      </c>
      <c r="B13" s="12" t="s">
        <v>111</v>
      </c>
      <c r="C13" s="12" t="s">
        <v>112</v>
      </c>
      <c r="F13" s="6" t="s">
        <v>325</v>
      </c>
    </row>
    <row r="14" spans="1:7" x14ac:dyDescent="0.25">
      <c r="A14" s="6" t="s">
        <v>113</v>
      </c>
      <c r="B14" s="12" t="s">
        <v>114</v>
      </c>
      <c r="C14" s="12" t="s">
        <v>115</v>
      </c>
      <c r="F14" s="6" t="s">
        <v>326</v>
      </c>
    </row>
    <row r="15" spans="1:7" x14ac:dyDescent="0.25">
      <c r="A15" s="6" t="s">
        <v>116</v>
      </c>
      <c r="B15" s="12" t="s">
        <v>117</v>
      </c>
      <c r="C15" s="12" t="s">
        <v>118</v>
      </c>
      <c r="F15" s="6" t="s">
        <v>332</v>
      </c>
    </row>
    <row r="16" spans="1:7" x14ac:dyDescent="0.25">
      <c r="A16" s="6" t="s">
        <v>119</v>
      </c>
      <c r="B16" s="12" t="s">
        <v>120</v>
      </c>
      <c r="C16" s="12" t="s">
        <v>121</v>
      </c>
    </row>
    <row r="17" spans="1:3" x14ac:dyDescent="0.25">
      <c r="A17" s="6" t="s">
        <v>122</v>
      </c>
      <c r="B17" s="12" t="s">
        <v>123</v>
      </c>
      <c r="C17" s="12" t="s">
        <v>124</v>
      </c>
    </row>
    <row r="18" spans="1:3" x14ac:dyDescent="0.25">
      <c r="A18" s="6" t="s">
        <v>125</v>
      </c>
      <c r="B18" s="12" t="s">
        <v>126</v>
      </c>
      <c r="C18" s="12" t="s">
        <v>127</v>
      </c>
    </row>
    <row r="19" spans="1:3" x14ac:dyDescent="0.25">
      <c r="A19" s="6" t="s">
        <v>128</v>
      </c>
      <c r="B19" s="12" t="s">
        <v>129</v>
      </c>
      <c r="C19" s="12" t="s">
        <v>130</v>
      </c>
    </row>
    <row r="20" spans="1:3" x14ac:dyDescent="0.25">
      <c r="A20" s="6" t="s">
        <v>131</v>
      </c>
      <c r="B20" s="12" t="s">
        <v>132</v>
      </c>
      <c r="C20" s="12" t="s">
        <v>133</v>
      </c>
    </row>
    <row r="21" spans="1:3" x14ac:dyDescent="0.25">
      <c r="A21" s="6" t="s">
        <v>134</v>
      </c>
      <c r="B21" s="12" t="s">
        <v>135</v>
      </c>
      <c r="C21" s="12" t="s">
        <v>136</v>
      </c>
    </row>
    <row r="22" spans="1:3" x14ac:dyDescent="0.25">
      <c r="A22" s="6" t="s">
        <v>137</v>
      </c>
      <c r="B22" s="12" t="s">
        <v>138</v>
      </c>
      <c r="C22" s="12" t="s">
        <v>139</v>
      </c>
    </row>
    <row r="23" spans="1:3" x14ac:dyDescent="0.25">
      <c r="A23" s="6" t="s">
        <v>140</v>
      </c>
      <c r="B23" s="12"/>
      <c r="C23" s="12"/>
    </row>
    <row r="24" spans="1:3" x14ac:dyDescent="0.25">
      <c r="A24" s="6" t="s">
        <v>141</v>
      </c>
      <c r="B24" s="12"/>
      <c r="C24" s="12"/>
    </row>
    <row r="25" spans="1:3" x14ac:dyDescent="0.25">
      <c r="A25" s="6" t="s">
        <v>142</v>
      </c>
      <c r="B25" s="12"/>
      <c r="C25" s="12"/>
    </row>
    <row r="26" spans="1:3" x14ac:dyDescent="0.25">
      <c r="A26" s="6" t="s">
        <v>143</v>
      </c>
      <c r="B26" s="12"/>
      <c r="C26" s="12"/>
    </row>
    <row r="27" spans="1:3" x14ac:dyDescent="0.25">
      <c r="A27" s="6" t="s">
        <v>144</v>
      </c>
      <c r="B27" s="12"/>
      <c r="C27" s="12"/>
    </row>
    <row r="28" spans="1:3" x14ac:dyDescent="0.25">
      <c r="A28" s="6" t="s">
        <v>145</v>
      </c>
      <c r="B28" s="12"/>
      <c r="C28" s="12"/>
    </row>
    <row r="29" spans="1:3" x14ac:dyDescent="0.25">
      <c r="A29" s="6" t="s">
        <v>146</v>
      </c>
      <c r="B29" s="12"/>
      <c r="C29" s="12"/>
    </row>
    <row r="30" spans="1:3" x14ac:dyDescent="0.25">
      <c r="A30" s="6" t="s">
        <v>147</v>
      </c>
      <c r="B30" s="12"/>
      <c r="C30" s="12"/>
    </row>
    <row r="31" spans="1:3" x14ac:dyDescent="0.25">
      <c r="A31" s="6" t="s">
        <v>148</v>
      </c>
      <c r="B31" s="12"/>
      <c r="C31" s="12"/>
    </row>
    <row r="32" spans="1:3" x14ac:dyDescent="0.25">
      <c r="A32" s="6" t="s">
        <v>149</v>
      </c>
      <c r="B32" s="12"/>
      <c r="C32" s="12"/>
    </row>
    <row r="33" spans="1:3" x14ac:dyDescent="0.25">
      <c r="A33" s="6" t="s">
        <v>150</v>
      </c>
      <c r="B33" s="12"/>
      <c r="C33" s="12"/>
    </row>
    <row r="34" spans="1:3" x14ac:dyDescent="0.25">
      <c r="A34" s="6" t="s">
        <v>151</v>
      </c>
      <c r="B34" s="12"/>
      <c r="C34" s="12"/>
    </row>
    <row r="35" spans="1:3" x14ac:dyDescent="0.25">
      <c r="A35" s="6" t="s">
        <v>152</v>
      </c>
      <c r="B35" s="12"/>
      <c r="C35" s="12"/>
    </row>
    <row r="36" spans="1:3" x14ac:dyDescent="0.25">
      <c r="A36" s="6" t="s">
        <v>153</v>
      </c>
      <c r="B36" s="12"/>
      <c r="C36" s="12"/>
    </row>
    <row r="37" spans="1:3" x14ac:dyDescent="0.25">
      <c r="A37" s="6" t="s">
        <v>154</v>
      </c>
      <c r="B37" s="12"/>
      <c r="C37" s="12"/>
    </row>
    <row r="38" spans="1:3" x14ac:dyDescent="0.25">
      <c r="A38" s="6" t="s">
        <v>155</v>
      </c>
      <c r="B38" s="12"/>
      <c r="C38" s="12"/>
    </row>
    <row r="39" spans="1:3" x14ac:dyDescent="0.25">
      <c r="A39" s="6" t="s">
        <v>156</v>
      </c>
      <c r="B39" s="12"/>
      <c r="C39" s="12"/>
    </row>
    <row r="40" spans="1:3" x14ac:dyDescent="0.25">
      <c r="A40" s="6" t="s">
        <v>157</v>
      </c>
      <c r="B40" s="12"/>
      <c r="C40" s="12"/>
    </row>
    <row r="41" spans="1:3" x14ac:dyDescent="0.25">
      <c r="A41" s="6" t="s">
        <v>158</v>
      </c>
      <c r="B41" s="12"/>
      <c r="C41" s="12"/>
    </row>
    <row r="42" spans="1:3" x14ac:dyDescent="0.25">
      <c r="A42" s="6" t="s">
        <v>159</v>
      </c>
      <c r="B42" s="12"/>
      <c r="C42" s="12"/>
    </row>
    <row r="43" spans="1:3" x14ac:dyDescent="0.25">
      <c r="A43" s="6" t="s">
        <v>160</v>
      </c>
      <c r="B43" s="12"/>
      <c r="C43" s="12"/>
    </row>
    <row r="44" spans="1:3" x14ac:dyDescent="0.25">
      <c r="A44" s="6" t="s">
        <v>161</v>
      </c>
      <c r="B44" s="12"/>
      <c r="C44" s="12"/>
    </row>
    <row r="45" spans="1:3" x14ac:dyDescent="0.25">
      <c r="A45" s="6" t="s">
        <v>162</v>
      </c>
      <c r="B45" s="12"/>
      <c r="C45" s="12"/>
    </row>
    <row r="46" spans="1:3" x14ac:dyDescent="0.25">
      <c r="A46" s="6" t="s">
        <v>163</v>
      </c>
      <c r="B46" s="12"/>
      <c r="C46" s="12"/>
    </row>
    <row r="47" spans="1:3" x14ac:dyDescent="0.25">
      <c r="A47" s="6" t="s">
        <v>164</v>
      </c>
      <c r="B47" s="12"/>
      <c r="C47" s="12"/>
    </row>
    <row r="48" spans="1:3" x14ac:dyDescent="0.25">
      <c r="A48" s="6" t="s">
        <v>165</v>
      </c>
      <c r="B48" s="12"/>
      <c r="C48" s="12"/>
    </row>
    <row r="49" spans="1:3" x14ac:dyDescent="0.25">
      <c r="A49" s="6" t="s">
        <v>166</v>
      </c>
      <c r="B49" s="12"/>
      <c r="C49" s="12"/>
    </row>
    <row r="50" spans="1:3" x14ac:dyDescent="0.25">
      <c r="A50" s="6" t="s">
        <v>167</v>
      </c>
      <c r="B50" s="12"/>
      <c r="C50" s="12"/>
    </row>
    <row r="51" spans="1:3" x14ac:dyDescent="0.25">
      <c r="A51" s="6" t="s">
        <v>168</v>
      </c>
      <c r="B51" s="12"/>
      <c r="C51" s="12"/>
    </row>
    <row r="52" spans="1:3" x14ac:dyDescent="0.25">
      <c r="A52" s="6" t="s">
        <v>169</v>
      </c>
      <c r="B52" s="12"/>
      <c r="C52" s="12"/>
    </row>
    <row r="53" spans="1:3" x14ac:dyDescent="0.25">
      <c r="A53" s="6" t="s">
        <v>170</v>
      </c>
      <c r="B53" s="12"/>
      <c r="C53" s="12"/>
    </row>
    <row r="54" spans="1:3" x14ac:dyDescent="0.25">
      <c r="A54" s="6" t="s">
        <v>171</v>
      </c>
      <c r="B54" s="12"/>
      <c r="C54" s="12"/>
    </row>
    <row r="55" spans="1:3" x14ac:dyDescent="0.25">
      <c r="A55" s="6" t="s">
        <v>172</v>
      </c>
      <c r="B55" s="12"/>
      <c r="C55" s="12"/>
    </row>
    <row r="56" spans="1:3" x14ac:dyDescent="0.25">
      <c r="A56" s="6" t="s">
        <v>173</v>
      </c>
      <c r="B56" s="12"/>
      <c r="C56" s="12"/>
    </row>
    <row r="57" spans="1:3" x14ac:dyDescent="0.25">
      <c r="A57" s="6" t="s">
        <v>174</v>
      </c>
      <c r="B57" s="12"/>
      <c r="C57" s="12"/>
    </row>
    <row r="58" spans="1:3" x14ac:dyDescent="0.25">
      <c r="A58" s="6" t="s">
        <v>175</v>
      </c>
      <c r="B58" s="12"/>
      <c r="C58" s="12"/>
    </row>
    <row r="59" spans="1:3" x14ac:dyDescent="0.25">
      <c r="A59" s="6" t="s">
        <v>176</v>
      </c>
      <c r="B59" s="12"/>
      <c r="C59" s="12"/>
    </row>
    <row r="60" spans="1:3" x14ac:dyDescent="0.25">
      <c r="A60" s="6" t="s">
        <v>177</v>
      </c>
      <c r="B60" s="12"/>
      <c r="C60" s="12"/>
    </row>
    <row r="61" spans="1:3" x14ac:dyDescent="0.25">
      <c r="A61" s="6" t="s">
        <v>178</v>
      </c>
      <c r="B61" s="12"/>
      <c r="C61" s="12"/>
    </row>
    <row r="62" spans="1:3" x14ac:dyDescent="0.25">
      <c r="A62" s="6" t="s">
        <v>179</v>
      </c>
      <c r="B62" s="12"/>
      <c r="C62" s="12"/>
    </row>
    <row r="63" spans="1:3" x14ac:dyDescent="0.25">
      <c r="A63" s="6" t="s">
        <v>180</v>
      </c>
      <c r="B63" s="12"/>
      <c r="C63" s="12"/>
    </row>
    <row r="64" spans="1:3" x14ac:dyDescent="0.25">
      <c r="A64" s="6" t="s">
        <v>181</v>
      </c>
      <c r="B64" s="12"/>
      <c r="C64" s="12"/>
    </row>
    <row r="65" spans="1:3" x14ac:dyDescent="0.25">
      <c r="A65" s="6" t="s">
        <v>182</v>
      </c>
      <c r="B65" s="12"/>
      <c r="C65" s="12"/>
    </row>
    <row r="66" spans="1:3" x14ac:dyDescent="0.25">
      <c r="A66" s="6" t="s">
        <v>183</v>
      </c>
      <c r="B66" s="12"/>
      <c r="C66" s="12"/>
    </row>
    <row r="67" spans="1:3" x14ac:dyDescent="0.25">
      <c r="A67" s="6" t="s">
        <v>184</v>
      </c>
      <c r="B67" s="12"/>
      <c r="C67" s="12"/>
    </row>
    <row r="68" spans="1:3" x14ac:dyDescent="0.25">
      <c r="A68" s="6" t="s">
        <v>185</v>
      </c>
      <c r="B68" s="12"/>
      <c r="C68" s="12"/>
    </row>
    <row r="69" spans="1:3" x14ac:dyDescent="0.25">
      <c r="A69" s="6" t="s">
        <v>186</v>
      </c>
      <c r="B69" s="12"/>
      <c r="C69" s="12"/>
    </row>
    <row r="70" spans="1:3" x14ac:dyDescent="0.25">
      <c r="A70" s="6" t="s">
        <v>187</v>
      </c>
      <c r="B70" s="12"/>
      <c r="C70" s="12"/>
    </row>
    <row r="71" spans="1:3" x14ac:dyDescent="0.25">
      <c r="A71" s="6" t="s">
        <v>188</v>
      </c>
      <c r="B71" s="12"/>
      <c r="C71" s="12"/>
    </row>
    <row r="72" spans="1:3" x14ac:dyDescent="0.25">
      <c r="A72" s="6" t="s">
        <v>189</v>
      </c>
      <c r="B72" s="12"/>
      <c r="C72" s="12"/>
    </row>
    <row r="73" spans="1:3" x14ac:dyDescent="0.25">
      <c r="A73" s="6" t="s">
        <v>190</v>
      </c>
      <c r="B73" s="12"/>
      <c r="C73" s="12"/>
    </row>
    <row r="74" spans="1:3" x14ac:dyDescent="0.25">
      <c r="A74" s="6" t="s">
        <v>191</v>
      </c>
      <c r="B74" s="12"/>
      <c r="C74" s="12"/>
    </row>
    <row r="75" spans="1:3" x14ac:dyDescent="0.25">
      <c r="A75" s="6" t="s">
        <v>192</v>
      </c>
      <c r="B75" s="12"/>
      <c r="C75" s="12"/>
    </row>
    <row r="76" spans="1:3" x14ac:dyDescent="0.25">
      <c r="A76" s="6" t="s">
        <v>193</v>
      </c>
      <c r="B76" s="12"/>
      <c r="C76" s="12"/>
    </row>
    <row r="77" spans="1:3" x14ac:dyDescent="0.25">
      <c r="A77" s="6" t="s">
        <v>194</v>
      </c>
      <c r="B77" s="12"/>
      <c r="C77" s="12"/>
    </row>
    <row r="78" spans="1:3" x14ac:dyDescent="0.25">
      <c r="A78" s="6" t="s">
        <v>195</v>
      </c>
      <c r="B78" s="12"/>
      <c r="C78" s="12"/>
    </row>
    <row r="79" spans="1:3" x14ac:dyDescent="0.25">
      <c r="A79" s="6" t="s">
        <v>196</v>
      </c>
      <c r="B79" s="12"/>
      <c r="C79" s="12"/>
    </row>
    <row r="80" spans="1:3" x14ac:dyDescent="0.25">
      <c r="A80" s="6" t="s">
        <v>197</v>
      </c>
      <c r="B80" s="12"/>
      <c r="C80" s="12"/>
    </row>
    <row r="81" spans="1:3" x14ac:dyDescent="0.25">
      <c r="A81" s="6" t="s">
        <v>198</v>
      </c>
      <c r="B81" s="12"/>
      <c r="C81" s="12"/>
    </row>
    <row r="82" spans="1:3" x14ac:dyDescent="0.25">
      <c r="A82" s="6" t="s">
        <v>199</v>
      </c>
      <c r="B82" s="12"/>
      <c r="C82" s="12"/>
    </row>
    <row r="83" spans="1:3" x14ac:dyDescent="0.25">
      <c r="A83" s="6" t="s">
        <v>200</v>
      </c>
      <c r="B83" s="12"/>
      <c r="C83" s="12"/>
    </row>
    <row r="84" spans="1:3" x14ac:dyDescent="0.25">
      <c r="A84" s="6" t="s">
        <v>201</v>
      </c>
      <c r="B84" s="12"/>
      <c r="C84" s="12"/>
    </row>
    <row r="85" spans="1:3" x14ac:dyDescent="0.25">
      <c r="A85" s="6" t="s">
        <v>202</v>
      </c>
      <c r="B85" s="12"/>
      <c r="C85" s="12"/>
    </row>
    <row r="86" spans="1:3" x14ac:dyDescent="0.25">
      <c r="A86" s="6" t="s">
        <v>203</v>
      </c>
      <c r="B86" s="12"/>
      <c r="C86" s="12"/>
    </row>
    <row r="87" spans="1:3" x14ac:dyDescent="0.25">
      <c r="A87" s="6" t="s">
        <v>204</v>
      </c>
      <c r="B87" s="12"/>
      <c r="C87" s="12"/>
    </row>
    <row r="88" spans="1:3" x14ac:dyDescent="0.25">
      <c r="A88" s="6" t="s">
        <v>205</v>
      </c>
      <c r="B88" s="12"/>
      <c r="C88" s="12"/>
    </row>
    <row r="89" spans="1:3" x14ac:dyDescent="0.25">
      <c r="A89" s="6" t="s">
        <v>206</v>
      </c>
      <c r="B89" s="12"/>
      <c r="C89" s="12"/>
    </row>
    <row r="90" spans="1:3" x14ac:dyDescent="0.25">
      <c r="A90" s="6" t="s">
        <v>207</v>
      </c>
      <c r="B90" s="12"/>
      <c r="C90" s="12"/>
    </row>
    <row r="91" spans="1:3" x14ac:dyDescent="0.25">
      <c r="A91" s="6" t="s">
        <v>208</v>
      </c>
      <c r="B91" s="12"/>
      <c r="C91" s="12"/>
    </row>
    <row r="92" spans="1:3" x14ac:dyDescent="0.25">
      <c r="A92" s="6" t="s">
        <v>209</v>
      </c>
      <c r="B92" s="12"/>
      <c r="C92" s="12"/>
    </row>
    <row r="93" spans="1:3" x14ac:dyDescent="0.25">
      <c r="A93" s="6" t="s">
        <v>210</v>
      </c>
      <c r="B93" s="12"/>
      <c r="C93" s="12"/>
    </row>
    <row r="94" spans="1:3" x14ac:dyDescent="0.25">
      <c r="A94" s="6" t="s">
        <v>211</v>
      </c>
      <c r="B94" s="12"/>
      <c r="C94" s="12"/>
    </row>
    <row r="95" spans="1:3" x14ac:dyDescent="0.25">
      <c r="A95" s="6" t="s">
        <v>212</v>
      </c>
      <c r="B95" s="12"/>
      <c r="C95" s="12"/>
    </row>
    <row r="96" spans="1:3" x14ac:dyDescent="0.25">
      <c r="A96" s="6" t="s">
        <v>213</v>
      </c>
      <c r="B96" s="12"/>
      <c r="C96" s="12"/>
    </row>
    <row r="97" spans="1:3" x14ac:dyDescent="0.25">
      <c r="A97" s="6" t="s">
        <v>214</v>
      </c>
      <c r="B97" s="12"/>
      <c r="C97" s="12"/>
    </row>
    <row r="98" spans="1:3" x14ac:dyDescent="0.25">
      <c r="A98" s="6" t="s">
        <v>215</v>
      </c>
      <c r="B98" s="12"/>
      <c r="C98" s="12"/>
    </row>
    <row r="99" spans="1:3" x14ac:dyDescent="0.25">
      <c r="A99" s="6" t="s">
        <v>216</v>
      </c>
      <c r="B99" s="12"/>
      <c r="C99" s="12"/>
    </row>
    <row r="100" spans="1:3" x14ac:dyDescent="0.25">
      <c r="A100" s="6" t="s">
        <v>217</v>
      </c>
      <c r="B100" s="12"/>
      <c r="C100" s="12"/>
    </row>
    <row r="101" spans="1:3" x14ac:dyDescent="0.25">
      <c r="A101" s="6" t="s">
        <v>218</v>
      </c>
      <c r="B101" s="12"/>
      <c r="C101" s="12"/>
    </row>
    <row r="102" spans="1:3" x14ac:dyDescent="0.25">
      <c r="A102" s="6" t="s">
        <v>219</v>
      </c>
      <c r="B102" s="12"/>
      <c r="C102" s="12"/>
    </row>
    <row r="103" spans="1:3" x14ac:dyDescent="0.25">
      <c r="A103" s="6" t="s">
        <v>220</v>
      </c>
      <c r="B103" s="12"/>
      <c r="C103" s="12"/>
    </row>
    <row r="104" spans="1:3" x14ac:dyDescent="0.25">
      <c r="A104" s="6" t="s">
        <v>221</v>
      </c>
      <c r="B104" s="12"/>
      <c r="C104" s="12"/>
    </row>
    <row r="105" spans="1:3" x14ac:dyDescent="0.25">
      <c r="A105" s="6" t="s">
        <v>222</v>
      </c>
      <c r="B105" s="12"/>
      <c r="C105" s="12"/>
    </row>
    <row r="106" spans="1:3" x14ac:dyDescent="0.25">
      <c r="A106" s="6" t="s">
        <v>223</v>
      </c>
      <c r="B106" s="12"/>
      <c r="C106" s="12"/>
    </row>
    <row r="107" spans="1:3" x14ac:dyDescent="0.25">
      <c r="A107" s="6" t="s">
        <v>224</v>
      </c>
      <c r="B107" s="12"/>
      <c r="C107" s="12"/>
    </row>
    <row r="108" spans="1:3" x14ac:dyDescent="0.25">
      <c r="A108" s="6" t="s">
        <v>225</v>
      </c>
      <c r="B108" s="12"/>
      <c r="C108" s="12"/>
    </row>
    <row r="109" spans="1:3" x14ac:dyDescent="0.25">
      <c r="A109" s="6" t="s">
        <v>226</v>
      </c>
      <c r="B109" s="12"/>
      <c r="C109" s="12"/>
    </row>
    <row r="110" spans="1:3" x14ac:dyDescent="0.25">
      <c r="A110" s="6" t="s">
        <v>227</v>
      </c>
      <c r="B110" s="12"/>
      <c r="C110" s="12"/>
    </row>
    <row r="111" spans="1:3" x14ac:dyDescent="0.25">
      <c r="A111" s="6" t="s">
        <v>228</v>
      </c>
      <c r="B111" s="12"/>
      <c r="C111" s="12"/>
    </row>
    <row r="112" spans="1:3" x14ac:dyDescent="0.25">
      <c r="A112" s="6" t="s">
        <v>229</v>
      </c>
      <c r="B112" s="12"/>
      <c r="C112" s="12"/>
    </row>
    <row r="113" spans="1:3" x14ac:dyDescent="0.25">
      <c r="A113" s="6" t="s">
        <v>230</v>
      </c>
      <c r="B113" s="12"/>
      <c r="C113" s="12"/>
    </row>
    <row r="114" spans="1:3" x14ac:dyDescent="0.25">
      <c r="A114" s="6" t="s">
        <v>231</v>
      </c>
      <c r="B114" s="12"/>
      <c r="C114" s="12"/>
    </row>
    <row r="115" spans="1:3" x14ac:dyDescent="0.25">
      <c r="A115" s="6" t="s">
        <v>232</v>
      </c>
      <c r="B115" s="12"/>
      <c r="C115" s="12"/>
    </row>
    <row r="116" spans="1:3" x14ac:dyDescent="0.25">
      <c r="A116" s="6" t="s">
        <v>233</v>
      </c>
      <c r="B116" s="12"/>
      <c r="C116" s="12"/>
    </row>
    <row r="117" spans="1:3" x14ac:dyDescent="0.25">
      <c r="A117" s="6" t="s">
        <v>234</v>
      </c>
      <c r="B117" s="12"/>
      <c r="C117" s="12"/>
    </row>
    <row r="118" spans="1:3" x14ac:dyDescent="0.25">
      <c r="A118" s="6" t="s">
        <v>235</v>
      </c>
      <c r="B118" s="12"/>
      <c r="C118" s="12"/>
    </row>
    <row r="119" spans="1:3" x14ac:dyDescent="0.25">
      <c r="A119" s="6" t="s">
        <v>236</v>
      </c>
      <c r="B119" s="12"/>
      <c r="C119" s="12"/>
    </row>
    <row r="120" spans="1:3" x14ac:dyDescent="0.25">
      <c r="A120" s="6" t="s">
        <v>237</v>
      </c>
      <c r="B120" s="12"/>
      <c r="C120" s="12"/>
    </row>
    <row r="121" spans="1:3" x14ac:dyDescent="0.25">
      <c r="A121" s="6" t="s">
        <v>238</v>
      </c>
      <c r="B121" s="12"/>
      <c r="C121" s="12"/>
    </row>
    <row r="122" spans="1:3" x14ac:dyDescent="0.25">
      <c r="A122" s="6" t="s">
        <v>239</v>
      </c>
      <c r="B122" s="12"/>
      <c r="C122" s="12"/>
    </row>
    <row r="123" spans="1:3" x14ac:dyDescent="0.25">
      <c r="A123" s="6" t="s">
        <v>240</v>
      </c>
      <c r="B123" s="12"/>
      <c r="C123" s="12"/>
    </row>
    <row r="124" spans="1:3" x14ac:dyDescent="0.25">
      <c r="A124" s="6" t="s">
        <v>241</v>
      </c>
      <c r="B124" s="12"/>
      <c r="C124" s="12"/>
    </row>
    <row r="125" spans="1:3" x14ac:dyDescent="0.25">
      <c r="A125" s="6" t="s">
        <v>242</v>
      </c>
      <c r="B125" s="12"/>
      <c r="C125" s="12"/>
    </row>
    <row r="126" spans="1:3" x14ac:dyDescent="0.25">
      <c r="A126" s="6" t="s">
        <v>243</v>
      </c>
      <c r="B126" s="12"/>
      <c r="C126" s="12"/>
    </row>
    <row r="127" spans="1:3" x14ac:dyDescent="0.25">
      <c r="A127" s="6" t="s">
        <v>244</v>
      </c>
      <c r="B127" s="12"/>
      <c r="C127" s="12"/>
    </row>
    <row r="128" spans="1:3" x14ac:dyDescent="0.25">
      <c r="A128" s="6" t="s">
        <v>245</v>
      </c>
      <c r="B128" s="12"/>
      <c r="C128" s="12"/>
    </row>
    <row r="129" spans="1:3" x14ac:dyDescent="0.25">
      <c r="A129" s="6" t="s">
        <v>246</v>
      </c>
      <c r="B129" s="12"/>
      <c r="C129" s="12"/>
    </row>
    <row r="130" spans="1:3" x14ac:dyDescent="0.25">
      <c r="A130" s="6" t="s">
        <v>247</v>
      </c>
      <c r="B130" s="12"/>
      <c r="C130" s="12"/>
    </row>
    <row r="131" spans="1:3" x14ac:dyDescent="0.25">
      <c r="A131" s="6" t="s">
        <v>248</v>
      </c>
      <c r="B131" s="12"/>
      <c r="C131" s="12"/>
    </row>
    <row r="132" spans="1:3" x14ac:dyDescent="0.25">
      <c r="A132" s="6" t="s">
        <v>249</v>
      </c>
      <c r="B132" s="12"/>
      <c r="C132" s="12"/>
    </row>
    <row r="133" spans="1:3" x14ac:dyDescent="0.25">
      <c r="A133" s="6" t="s">
        <v>250</v>
      </c>
      <c r="B133" s="12"/>
      <c r="C133" s="12"/>
    </row>
    <row r="134" spans="1:3" x14ac:dyDescent="0.25">
      <c r="A134" s="6" t="s">
        <v>251</v>
      </c>
      <c r="B134" s="12"/>
      <c r="C134" s="12"/>
    </row>
    <row r="135" spans="1:3" x14ac:dyDescent="0.25">
      <c r="A135" s="6" t="s">
        <v>252</v>
      </c>
      <c r="B135" s="12"/>
      <c r="C135" s="12"/>
    </row>
    <row r="136" spans="1:3" x14ac:dyDescent="0.25">
      <c r="A136" s="6" t="s">
        <v>253</v>
      </c>
      <c r="B136" s="12"/>
      <c r="C136" s="12"/>
    </row>
    <row r="137" spans="1:3" x14ac:dyDescent="0.25">
      <c r="A137" s="6" t="s">
        <v>254</v>
      </c>
      <c r="B137" s="12"/>
      <c r="C137" s="12"/>
    </row>
    <row r="138" spans="1:3" x14ac:dyDescent="0.25">
      <c r="A138" s="6" t="s">
        <v>255</v>
      </c>
      <c r="B138" s="12"/>
      <c r="C138" s="12"/>
    </row>
    <row r="139" spans="1:3" x14ac:dyDescent="0.25">
      <c r="A139" s="6" t="s">
        <v>256</v>
      </c>
      <c r="B139" s="12"/>
      <c r="C139" s="12"/>
    </row>
    <row r="140" spans="1:3" x14ac:dyDescent="0.25">
      <c r="A140" s="6" t="s">
        <v>257</v>
      </c>
      <c r="B140" s="12"/>
      <c r="C140" s="12"/>
    </row>
    <row r="141" spans="1:3" x14ac:dyDescent="0.25">
      <c r="A141" s="6" t="s">
        <v>258</v>
      </c>
      <c r="B141" s="12"/>
      <c r="C141" s="12"/>
    </row>
    <row r="142" spans="1:3" x14ac:dyDescent="0.25">
      <c r="A142" s="6" t="s">
        <v>259</v>
      </c>
      <c r="B142" s="12"/>
      <c r="C142" s="12"/>
    </row>
    <row r="143" spans="1:3" x14ac:dyDescent="0.25">
      <c r="A143" s="6" t="s">
        <v>260</v>
      </c>
      <c r="B143" s="12"/>
      <c r="C143" s="12"/>
    </row>
    <row r="144" spans="1:3" x14ac:dyDescent="0.25">
      <c r="A144" s="6" t="s">
        <v>261</v>
      </c>
      <c r="B144" s="12"/>
      <c r="C144" s="12"/>
    </row>
    <row r="145" spans="1:3" x14ac:dyDescent="0.25">
      <c r="A145" s="6" t="s">
        <v>262</v>
      </c>
      <c r="B145" s="12"/>
      <c r="C145" s="12"/>
    </row>
    <row r="146" spans="1:3" x14ac:dyDescent="0.25">
      <c r="A146" s="6" t="s">
        <v>263</v>
      </c>
      <c r="B146" s="12"/>
      <c r="C146" s="12"/>
    </row>
    <row r="147" spans="1:3" x14ac:dyDescent="0.25">
      <c r="A147" s="6" t="s">
        <v>264</v>
      </c>
      <c r="B147" s="12"/>
      <c r="C147" s="12"/>
    </row>
    <row r="148" spans="1:3" x14ac:dyDescent="0.25">
      <c r="A148" s="6" t="s">
        <v>265</v>
      </c>
      <c r="B148" s="12"/>
      <c r="C148" s="12"/>
    </row>
    <row r="149" spans="1:3" x14ac:dyDescent="0.25">
      <c r="A149" s="6" t="s">
        <v>266</v>
      </c>
      <c r="B149" s="12"/>
      <c r="C149" s="12"/>
    </row>
    <row r="150" spans="1:3" x14ac:dyDescent="0.25">
      <c r="A150" s="6" t="s">
        <v>267</v>
      </c>
      <c r="B150" s="12"/>
      <c r="C150" s="12"/>
    </row>
    <row r="151" spans="1:3" x14ac:dyDescent="0.25">
      <c r="A151" s="6" t="s">
        <v>268</v>
      </c>
      <c r="B151" s="12"/>
      <c r="C151" s="12"/>
    </row>
    <row r="152" spans="1:3" x14ac:dyDescent="0.25">
      <c r="A152" s="6" t="s">
        <v>269</v>
      </c>
      <c r="B152" s="12"/>
      <c r="C152" s="12"/>
    </row>
    <row r="153" spans="1:3" x14ac:dyDescent="0.25">
      <c r="A153" s="6" t="s">
        <v>270</v>
      </c>
      <c r="B153" s="12"/>
      <c r="C153" s="12"/>
    </row>
    <row r="154" spans="1:3" x14ac:dyDescent="0.25">
      <c r="A154" s="6" t="s">
        <v>271</v>
      </c>
      <c r="B154" s="12"/>
      <c r="C154" s="12"/>
    </row>
    <row r="155" spans="1:3" x14ac:dyDescent="0.25">
      <c r="A155" s="6" t="s">
        <v>272</v>
      </c>
      <c r="B155" s="12"/>
      <c r="C155" s="12"/>
    </row>
    <row r="156" spans="1:3" x14ac:dyDescent="0.25">
      <c r="A156" s="6" t="s">
        <v>273</v>
      </c>
      <c r="B156" s="12"/>
      <c r="C156" s="12"/>
    </row>
    <row r="157" spans="1:3" x14ac:dyDescent="0.25">
      <c r="A157" s="6" t="s">
        <v>274</v>
      </c>
      <c r="B157" s="12"/>
      <c r="C157" s="12"/>
    </row>
    <row r="158" spans="1:3" x14ac:dyDescent="0.25">
      <c r="A158" s="6" t="s">
        <v>275</v>
      </c>
      <c r="B158" s="12"/>
      <c r="C158" s="12"/>
    </row>
    <row r="159" spans="1:3" x14ac:dyDescent="0.25">
      <c r="A159" s="6" t="s">
        <v>276</v>
      </c>
      <c r="B159" s="12"/>
      <c r="C159" s="12"/>
    </row>
    <row r="160" spans="1:3" x14ac:dyDescent="0.25">
      <c r="A160" s="6" t="s">
        <v>277</v>
      </c>
      <c r="B160" s="12"/>
      <c r="C160" s="12"/>
    </row>
    <row r="161" spans="1:3" x14ac:dyDescent="0.25">
      <c r="A161" s="6" t="s">
        <v>278</v>
      </c>
      <c r="B161" s="12"/>
      <c r="C161" s="12"/>
    </row>
    <row r="162" spans="1:3" x14ac:dyDescent="0.25">
      <c r="A162" s="6" t="s">
        <v>279</v>
      </c>
      <c r="B162" s="12"/>
      <c r="C162" s="12"/>
    </row>
    <row r="163" spans="1:3" x14ac:dyDescent="0.25">
      <c r="A163" s="6" t="s">
        <v>280</v>
      </c>
      <c r="B163" s="12"/>
      <c r="C163" s="12"/>
    </row>
    <row r="164" spans="1:3" x14ac:dyDescent="0.25">
      <c r="A164" s="6" t="s">
        <v>281</v>
      </c>
      <c r="B164" s="12"/>
      <c r="C164" s="12"/>
    </row>
    <row r="165" spans="1:3" x14ac:dyDescent="0.25">
      <c r="A165" s="6" t="s">
        <v>282</v>
      </c>
      <c r="B165" s="12"/>
      <c r="C165" s="12"/>
    </row>
    <row r="166" spans="1:3" x14ac:dyDescent="0.25">
      <c r="A166" s="6" t="s">
        <v>283</v>
      </c>
      <c r="B166" s="12"/>
      <c r="C166" s="12"/>
    </row>
    <row r="167" spans="1:3" x14ac:dyDescent="0.25">
      <c r="A167" s="6" t="s">
        <v>284</v>
      </c>
      <c r="B167" s="12"/>
      <c r="C167" s="12"/>
    </row>
    <row r="168" spans="1:3" x14ac:dyDescent="0.25">
      <c r="A168" s="6" t="s">
        <v>285</v>
      </c>
      <c r="B168" s="12"/>
      <c r="C168" s="12"/>
    </row>
    <row r="169" spans="1:3" x14ac:dyDescent="0.25">
      <c r="A169" s="6" t="s">
        <v>286</v>
      </c>
      <c r="B169" s="12"/>
      <c r="C169" s="12"/>
    </row>
    <row r="170" spans="1:3" x14ac:dyDescent="0.25">
      <c r="A170" s="6" t="s">
        <v>287</v>
      </c>
      <c r="B170" s="12"/>
      <c r="C170" s="12"/>
    </row>
    <row r="171" spans="1:3" x14ac:dyDescent="0.25">
      <c r="A171" s="6" t="s">
        <v>288</v>
      </c>
      <c r="B171" s="12"/>
      <c r="C171" s="12"/>
    </row>
    <row r="172" spans="1:3" x14ac:dyDescent="0.25">
      <c r="A172" s="6" t="s">
        <v>289</v>
      </c>
      <c r="B172" s="12"/>
      <c r="C172" s="12"/>
    </row>
    <row r="173" spans="1:3" x14ac:dyDescent="0.25">
      <c r="A173" s="6" t="s">
        <v>290</v>
      </c>
      <c r="B173" s="12"/>
      <c r="C173" s="12"/>
    </row>
    <row r="174" spans="1:3" x14ac:dyDescent="0.25">
      <c r="A174" s="6" t="s">
        <v>291</v>
      </c>
      <c r="B174" s="12"/>
      <c r="C174" s="12"/>
    </row>
    <row r="175" spans="1:3" x14ac:dyDescent="0.25">
      <c r="A175" s="6" t="s">
        <v>292</v>
      </c>
      <c r="B175" s="12"/>
      <c r="C175" s="12"/>
    </row>
    <row r="176" spans="1:3" x14ac:dyDescent="0.25">
      <c r="A176" s="6" t="s">
        <v>293</v>
      </c>
      <c r="B176" s="12"/>
      <c r="C176" s="12"/>
    </row>
    <row r="177" spans="1:3" x14ac:dyDescent="0.25">
      <c r="A177" s="6" t="s">
        <v>294</v>
      </c>
      <c r="B177" s="12"/>
      <c r="C177" s="12"/>
    </row>
    <row r="178" spans="1:3" x14ac:dyDescent="0.25">
      <c r="A178" s="6" t="s">
        <v>295</v>
      </c>
      <c r="B178" s="12"/>
      <c r="C178" s="12"/>
    </row>
    <row r="179" spans="1:3" x14ac:dyDescent="0.25">
      <c r="A179" s="6" t="s">
        <v>296</v>
      </c>
      <c r="B179" s="12"/>
      <c r="C179" s="12"/>
    </row>
    <row r="180" spans="1:3" x14ac:dyDescent="0.25">
      <c r="A180" s="6" t="s">
        <v>297</v>
      </c>
      <c r="B180" s="12"/>
      <c r="C180" s="12"/>
    </row>
    <row r="181" spans="1:3" x14ac:dyDescent="0.25">
      <c r="A181" s="6" t="s">
        <v>298</v>
      </c>
      <c r="B181" s="12"/>
      <c r="C181" s="12"/>
    </row>
    <row r="182" spans="1:3" x14ac:dyDescent="0.25">
      <c r="A182" s="6" t="s">
        <v>299</v>
      </c>
      <c r="B182" s="12"/>
      <c r="C182" s="12"/>
    </row>
    <row r="183" spans="1:3" x14ac:dyDescent="0.25">
      <c r="A183" s="6" t="s">
        <v>300</v>
      </c>
      <c r="B183" s="12"/>
      <c r="C183" s="12"/>
    </row>
    <row r="184" spans="1:3" x14ac:dyDescent="0.25">
      <c r="A184" s="6" t="s">
        <v>301</v>
      </c>
      <c r="B184" s="12"/>
      <c r="C184" s="12"/>
    </row>
    <row r="185" spans="1:3" x14ac:dyDescent="0.25">
      <c r="A185" s="6" t="s">
        <v>302</v>
      </c>
      <c r="B185" s="12"/>
      <c r="C185" s="12"/>
    </row>
    <row r="186" spans="1:3" x14ac:dyDescent="0.25">
      <c r="A186" s="6" t="s">
        <v>303</v>
      </c>
      <c r="B186" s="12"/>
      <c r="C186" s="12"/>
    </row>
    <row r="187" spans="1:3" x14ac:dyDescent="0.25">
      <c r="A187" s="6" t="s">
        <v>304</v>
      </c>
      <c r="B187" s="12"/>
      <c r="C187" s="12"/>
    </row>
    <row r="188" spans="1:3" x14ac:dyDescent="0.25">
      <c r="A188" s="6" t="s">
        <v>305</v>
      </c>
      <c r="B188" s="12"/>
      <c r="C188" s="12"/>
    </row>
    <row r="189" spans="1:3" x14ac:dyDescent="0.25">
      <c r="A189" s="6" t="s">
        <v>306</v>
      </c>
      <c r="B189" s="12"/>
      <c r="C189" s="12"/>
    </row>
    <row r="190" spans="1:3" x14ac:dyDescent="0.25">
      <c r="A190" s="6" t="s">
        <v>307</v>
      </c>
      <c r="B190" s="12"/>
      <c r="C190" s="12"/>
    </row>
    <row r="191" spans="1:3" x14ac:dyDescent="0.25">
      <c r="A191" s="6" t="s">
        <v>308</v>
      </c>
      <c r="B191" s="12"/>
      <c r="C191" s="12"/>
    </row>
    <row r="192" spans="1:3" x14ac:dyDescent="0.25">
      <c r="A192" s="6" t="s">
        <v>309</v>
      </c>
      <c r="B192" s="12"/>
      <c r="C192" s="12"/>
    </row>
    <row r="193" spans="1:3" x14ac:dyDescent="0.25">
      <c r="A193" s="6" t="s">
        <v>310</v>
      </c>
      <c r="B193" s="12"/>
      <c r="C193" s="12"/>
    </row>
    <row r="194" spans="1:3" x14ac:dyDescent="0.25">
      <c r="A194" s="6" t="s">
        <v>311</v>
      </c>
      <c r="B194" s="12"/>
      <c r="C194" s="12"/>
    </row>
    <row r="195" spans="1:3" x14ac:dyDescent="0.25">
      <c r="A195" s="6" t="s">
        <v>312</v>
      </c>
      <c r="B195" s="12"/>
      <c r="C195" s="12"/>
    </row>
    <row r="196" spans="1:3" x14ac:dyDescent="0.25">
      <c r="A196" s="6" t="s">
        <v>313</v>
      </c>
      <c r="B196" s="12"/>
      <c r="C196" s="12"/>
    </row>
    <row r="197" spans="1:3" x14ac:dyDescent="0.25">
      <c r="A197" s="6" t="s">
        <v>314</v>
      </c>
      <c r="B197" s="12"/>
      <c r="C197" s="12"/>
    </row>
    <row r="198" spans="1:3" x14ac:dyDescent="0.25">
      <c r="A198" s="6" t="s">
        <v>315</v>
      </c>
      <c r="B198" s="12"/>
      <c r="C198" s="12"/>
    </row>
    <row r="199" spans="1:3" x14ac:dyDescent="0.25">
      <c r="A199" s="6" t="s">
        <v>316</v>
      </c>
      <c r="B199" s="12"/>
      <c r="C199" s="12"/>
    </row>
    <row r="200" spans="1:3" x14ac:dyDescent="0.25">
      <c r="A200" s="6" t="s">
        <v>317</v>
      </c>
      <c r="B200" s="12"/>
      <c r="C200" s="12"/>
    </row>
    <row r="201" spans="1:3" x14ac:dyDescent="0.25">
      <c r="A201" s="6" t="s">
        <v>318</v>
      </c>
      <c r="B201" s="12"/>
      <c r="C201" s="12"/>
    </row>
    <row r="202" spans="1:3" x14ac:dyDescent="0.25">
      <c r="A202" s="6" t="s">
        <v>319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Q202"/>
  <sheetViews>
    <sheetView workbookViewId="0"/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65</v>
      </c>
      <c r="B1" s="3">
        <f>COUNTA(B3:B202)</f>
        <v>3</v>
      </c>
      <c r="C1" s="3">
        <f t="shared" ref="C1:D1" si="0">COUNTA(C3:C202)</f>
        <v>3</v>
      </c>
      <c r="D1" s="3">
        <f t="shared" si="0"/>
        <v>2</v>
      </c>
      <c r="E1" s="3">
        <f t="shared" ref="E1" si="1">COUNTA(E3:E202)</f>
        <v>2</v>
      </c>
      <c r="F1" s="15"/>
      <c r="G1" s="3">
        <f t="shared" ref="G1:H1" si="2">COUNTA(G3:G202)</f>
        <v>3</v>
      </c>
      <c r="H1" s="3">
        <f t="shared" si="2"/>
        <v>1</v>
      </c>
      <c r="I1" s="3">
        <f t="shared" ref="I1" si="3">COUNTA(I3:I202)</f>
        <v>2</v>
      </c>
      <c r="N1" s="5"/>
    </row>
    <row r="2" spans="1:17" x14ac:dyDescent="0.25">
      <c r="A2" s="2" t="s">
        <v>67</v>
      </c>
      <c r="B2" s="2" t="s">
        <v>66</v>
      </c>
      <c r="C2" s="2" t="s">
        <v>72</v>
      </c>
      <c r="D2" s="2" t="s">
        <v>340</v>
      </c>
      <c r="E2" s="2" t="s">
        <v>73</v>
      </c>
      <c r="F2" s="2" t="s">
        <v>74</v>
      </c>
      <c r="G2" s="2" t="s">
        <v>339</v>
      </c>
      <c r="H2" s="15" t="s">
        <v>449</v>
      </c>
      <c r="I2" s="15" t="s">
        <v>475</v>
      </c>
      <c r="L2" s="146" t="s">
        <v>353</v>
      </c>
      <c r="M2" s="147"/>
      <c r="N2" s="147"/>
      <c r="O2" s="147"/>
      <c r="P2" s="147"/>
      <c r="Q2" s="148"/>
    </row>
    <row r="3" spans="1:17" x14ac:dyDescent="0.25">
      <c r="A3" s="2">
        <v>1</v>
      </c>
      <c r="B3" s="4">
        <v>2.9</v>
      </c>
      <c r="C3" s="4">
        <v>0</v>
      </c>
      <c r="D3" s="4">
        <v>1.4999999999999999E-2</v>
      </c>
      <c r="E3" s="4">
        <v>15</v>
      </c>
      <c r="F3" s="4">
        <v>65</v>
      </c>
      <c r="G3" s="4">
        <v>0</v>
      </c>
      <c r="H3" s="4">
        <v>5</v>
      </c>
      <c r="I3" s="4">
        <v>25</v>
      </c>
      <c r="L3" s="149"/>
      <c r="M3" s="150"/>
      <c r="N3" s="150"/>
      <c r="O3" s="150"/>
      <c r="P3" s="150"/>
      <c r="Q3" s="151"/>
    </row>
    <row r="4" spans="1:17" x14ac:dyDescent="0.25">
      <c r="A4" s="2">
        <v>2</v>
      </c>
      <c r="B4" s="4">
        <v>3.3</v>
      </c>
      <c r="C4" s="4">
        <v>1E-4</v>
      </c>
      <c r="D4" s="4">
        <v>0.01</v>
      </c>
      <c r="E4" s="4">
        <v>16</v>
      </c>
      <c r="F4" s="4">
        <v>67</v>
      </c>
      <c r="G4" s="4">
        <v>0.01</v>
      </c>
      <c r="H4" s="4"/>
      <c r="I4" s="4">
        <v>30</v>
      </c>
      <c r="L4" s="149"/>
      <c r="M4" s="150"/>
      <c r="N4" s="150"/>
      <c r="O4" s="150"/>
      <c r="P4" s="150"/>
      <c r="Q4" s="151"/>
    </row>
    <row r="5" spans="1:17" x14ac:dyDescent="0.25">
      <c r="A5" s="2">
        <v>3</v>
      </c>
      <c r="B5" s="4">
        <v>3.7</v>
      </c>
      <c r="C5" s="4">
        <v>5.0000000000000001E-4</v>
      </c>
      <c r="D5" s="4"/>
      <c r="E5" s="4"/>
      <c r="F5" s="4"/>
      <c r="G5" s="4">
        <v>5.0000000000000001E-3</v>
      </c>
      <c r="H5" s="4"/>
      <c r="I5" s="4"/>
      <c r="L5" s="149"/>
      <c r="M5" s="150"/>
      <c r="N5" s="150"/>
      <c r="O5" s="150"/>
      <c r="P5" s="150"/>
      <c r="Q5" s="151"/>
    </row>
    <row r="6" spans="1:17" x14ac:dyDescent="0.25">
      <c r="A6" s="2">
        <v>7</v>
      </c>
      <c r="B6" s="4"/>
      <c r="C6" s="4"/>
      <c r="D6" s="4"/>
      <c r="E6" s="4"/>
      <c r="F6" s="4"/>
      <c r="G6" s="4"/>
      <c r="H6" s="4"/>
      <c r="I6" s="4"/>
      <c r="L6" s="149"/>
      <c r="M6" s="150"/>
      <c r="N6" s="150"/>
      <c r="O6" s="150"/>
      <c r="P6" s="150"/>
      <c r="Q6" s="151"/>
    </row>
    <row r="7" spans="1:17" x14ac:dyDescent="0.25">
      <c r="A7" s="2">
        <v>5</v>
      </c>
      <c r="B7" s="4"/>
      <c r="C7" s="4"/>
      <c r="D7" s="4"/>
      <c r="E7" s="4"/>
      <c r="F7" s="4"/>
      <c r="G7" s="4"/>
      <c r="H7" s="4"/>
      <c r="I7" s="4"/>
      <c r="L7" s="149"/>
      <c r="M7" s="150"/>
      <c r="N7" s="150"/>
      <c r="O7" s="150"/>
      <c r="P7" s="150"/>
      <c r="Q7" s="151"/>
    </row>
    <row r="8" spans="1:17" ht="17.25" thickBot="1" x14ac:dyDescent="0.3">
      <c r="A8" s="2">
        <v>6</v>
      </c>
      <c r="B8" s="4"/>
      <c r="C8" s="4"/>
      <c r="D8" s="4"/>
      <c r="E8" s="4"/>
      <c r="F8" s="4"/>
      <c r="G8" s="4"/>
      <c r="H8" s="4"/>
      <c r="I8" s="4"/>
      <c r="L8" s="152"/>
      <c r="M8" s="153"/>
      <c r="N8" s="153"/>
      <c r="O8" s="153"/>
      <c r="P8" s="153"/>
      <c r="Q8" s="154"/>
    </row>
    <row r="9" spans="1:17" x14ac:dyDescent="0.25">
      <c r="A9" s="2">
        <v>7</v>
      </c>
      <c r="B9" s="4"/>
      <c r="C9" s="4"/>
      <c r="D9" s="4"/>
      <c r="E9" s="4"/>
      <c r="F9" s="4"/>
      <c r="G9" s="4"/>
      <c r="H9" s="4"/>
      <c r="I9" s="4"/>
    </row>
    <row r="10" spans="1:17" x14ac:dyDescent="0.25">
      <c r="A10" s="2">
        <v>8</v>
      </c>
      <c r="B10" s="4"/>
      <c r="C10" s="4"/>
      <c r="D10" s="4"/>
      <c r="E10" s="4"/>
      <c r="F10" s="4"/>
      <c r="G10" s="4"/>
      <c r="H10" s="4"/>
      <c r="I10" s="4"/>
    </row>
    <row r="11" spans="1:17" x14ac:dyDescent="0.25">
      <c r="A11" s="2">
        <v>9</v>
      </c>
      <c r="B11" s="4"/>
      <c r="C11" s="4"/>
      <c r="D11" s="4"/>
      <c r="E11" s="4"/>
      <c r="F11" s="4"/>
      <c r="G11" s="4"/>
      <c r="H11" s="4"/>
      <c r="I11" s="4"/>
      <c r="M11" t="s">
        <v>450</v>
      </c>
      <c r="Q11" t="s">
        <v>459</v>
      </c>
    </row>
    <row r="12" spans="1:17" x14ac:dyDescent="0.25">
      <c r="A12" s="2">
        <v>10</v>
      </c>
      <c r="B12" s="4"/>
      <c r="C12" s="4"/>
      <c r="D12" s="4"/>
      <c r="E12" s="4"/>
      <c r="F12" s="4"/>
      <c r="G12" s="4"/>
      <c r="H12" s="4"/>
      <c r="I12" s="4"/>
    </row>
    <row r="13" spans="1:17" x14ac:dyDescent="0.25">
      <c r="A13" s="2">
        <v>11</v>
      </c>
      <c r="B13" s="4"/>
      <c r="C13" s="4"/>
      <c r="D13" s="4"/>
      <c r="E13" s="4"/>
      <c r="F13" s="4"/>
      <c r="G13" s="4"/>
      <c r="H13" s="4"/>
      <c r="I13" s="4"/>
      <c r="L13" t="s">
        <v>451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4"/>
      <c r="C14" s="4"/>
      <c r="D14" s="4"/>
      <c r="E14" s="4"/>
      <c r="F14" s="4"/>
      <c r="G14" s="4"/>
      <c r="H14" s="4"/>
      <c r="I14" s="4"/>
      <c r="L14" t="s">
        <v>452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4"/>
      <c r="C15" s="4"/>
      <c r="D15" s="4"/>
      <c r="E15" s="4"/>
      <c r="F15" s="4"/>
      <c r="G15" s="4"/>
      <c r="H15" s="4"/>
      <c r="I15" s="4"/>
      <c r="L15" t="s">
        <v>453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4"/>
      <c r="C16" s="4"/>
      <c r="D16" s="4"/>
      <c r="E16" s="4"/>
      <c r="F16" s="4"/>
      <c r="G16" s="4"/>
      <c r="H16" s="4"/>
      <c r="I16" s="4"/>
      <c r="L16" t="s">
        <v>454</v>
      </c>
      <c r="M16" s="4">
        <v>17</v>
      </c>
      <c r="N16" s="4">
        <v>63</v>
      </c>
      <c r="P16">
        <v>2.9</v>
      </c>
      <c r="Q16" s="4">
        <v>8</v>
      </c>
    </row>
    <row r="17" spans="1:17" x14ac:dyDescent="0.25">
      <c r="A17" s="2">
        <v>15</v>
      </c>
      <c r="B17" s="4"/>
      <c r="C17" s="4"/>
      <c r="D17" s="4"/>
      <c r="E17" s="4"/>
      <c r="F17" s="4"/>
      <c r="G17" s="4"/>
      <c r="H17" s="4"/>
      <c r="I17" s="4"/>
      <c r="L17" t="s">
        <v>455</v>
      </c>
      <c r="M17" s="4">
        <v>28</v>
      </c>
      <c r="N17" s="4">
        <v>78</v>
      </c>
      <c r="P17">
        <v>2.8</v>
      </c>
      <c r="Q17" s="4">
        <v>9</v>
      </c>
    </row>
    <row r="18" spans="1:17" x14ac:dyDescent="0.25">
      <c r="A18" s="2">
        <v>16</v>
      </c>
      <c r="B18" s="4"/>
      <c r="C18" s="4"/>
      <c r="D18" s="4"/>
      <c r="E18" s="4"/>
      <c r="F18" s="4"/>
      <c r="G18" s="4"/>
      <c r="H18" s="4"/>
      <c r="I18" s="4"/>
      <c r="L18" t="s">
        <v>456</v>
      </c>
      <c r="M18" s="4">
        <v>28</v>
      </c>
      <c r="N18" s="4">
        <v>76</v>
      </c>
      <c r="P18">
        <v>3.3</v>
      </c>
      <c r="Q18" s="4">
        <v>93</v>
      </c>
    </row>
    <row r="19" spans="1:17" x14ac:dyDescent="0.25">
      <c r="A19" s="2">
        <v>17</v>
      </c>
      <c r="B19" s="4"/>
      <c r="C19" s="4"/>
      <c r="D19" s="4"/>
      <c r="E19" s="4"/>
      <c r="F19" s="4"/>
      <c r="G19" s="4"/>
      <c r="H19" s="4"/>
      <c r="I19" s="4"/>
      <c r="L19" t="s">
        <v>457</v>
      </c>
      <c r="M19" s="4">
        <v>28</v>
      </c>
      <c r="N19" s="4">
        <v>74</v>
      </c>
    </row>
    <row r="20" spans="1:17" x14ac:dyDescent="0.25">
      <c r="A20" s="2">
        <v>18</v>
      </c>
      <c r="B20" s="4"/>
      <c r="C20" s="4"/>
      <c r="D20" s="4"/>
      <c r="E20" s="4"/>
      <c r="F20" s="4"/>
      <c r="G20" s="4"/>
      <c r="H20" s="4"/>
      <c r="I20" s="4"/>
      <c r="L20" t="s">
        <v>458</v>
      </c>
      <c r="M20" s="4">
        <v>16</v>
      </c>
      <c r="N20" s="4">
        <v>66</v>
      </c>
    </row>
    <row r="21" spans="1:17" x14ac:dyDescent="0.25">
      <c r="A21" s="2">
        <v>19</v>
      </c>
      <c r="B21" s="4"/>
      <c r="C21" s="4"/>
      <c r="D21" s="4"/>
      <c r="E21" s="4"/>
      <c r="F21" s="4"/>
      <c r="G21" s="4"/>
      <c r="H21" s="4"/>
      <c r="I21" s="4"/>
    </row>
    <row r="22" spans="1:17" x14ac:dyDescent="0.25">
      <c r="A22" s="2">
        <v>20</v>
      </c>
      <c r="B22" s="4"/>
      <c r="C22" s="4"/>
      <c r="D22" s="4"/>
      <c r="E22" s="4"/>
      <c r="F22" s="4"/>
      <c r="G22" s="4"/>
      <c r="H22" s="4"/>
      <c r="I22" s="4"/>
    </row>
    <row r="23" spans="1:17" x14ac:dyDescent="0.25">
      <c r="A23" s="2">
        <v>21</v>
      </c>
      <c r="B23" s="4"/>
      <c r="C23" s="4"/>
      <c r="D23" s="4"/>
      <c r="E23" s="4"/>
      <c r="F23" s="4"/>
      <c r="G23" s="4"/>
      <c r="H23" s="4"/>
      <c r="I23" s="4"/>
    </row>
    <row r="24" spans="1:17" x14ac:dyDescent="0.25">
      <c r="A24" s="2">
        <v>22</v>
      </c>
      <c r="B24" s="4"/>
      <c r="C24" s="4"/>
      <c r="D24" s="4"/>
      <c r="E24" s="4"/>
      <c r="F24" s="4"/>
      <c r="G24" s="4"/>
      <c r="H24" s="4"/>
      <c r="I24" s="4"/>
    </row>
    <row r="25" spans="1:17" x14ac:dyDescent="0.25">
      <c r="A25" s="2">
        <v>23</v>
      </c>
      <c r="B25" s="4"/>
      <c r="C25" s="4"/>
      <c r="D25" s="4"/>
      <c r="E25" s="4"/>
      <c r="F25" s="4"/>
      <c r="G25" s="4"/>
      <c r="H25" s="4"/>
      <c r="I25" s="4"/>
      <c r="L25" s="4">
        <v>2.9</v>
      </c>
      <c r="M25" s="4">
        <v>0</v>
      </c>
      <c r="O25" s="4">
        <v>3.3</v>
      </c>
      <c r="P25" s="4">
        <v>0</v>
      </c>
    </row>
    <row r="26" spans="1:17" x14ac:dyDescent="0.25">
      <c r="A26" s="2">
        <v>24</v>
      </c>
      <c r="B26" s="4"/>
      <c r="C26" s="4"/>
      <c r="D26" s="4"/>
      <c r="E26" s="4"/>
      <c r="F26" s="4"/>
      <c r="G26" s="4"/>
      <c r="H26" s="4"/>
      <c r="I26" s="4"/>
      <c r="L26" s="4">
        <v>3.3</v>
      </c>
      <c r="M26" s="4">
        <v>1E-4</v>
      </c>
      <c r="O26" s="4">
        <v>6.6</v>
      </c>
      <c r="P26" s="4">
        <v>0</v>
      </c>
    </row>
    <row r="27" spans="1:17" x14ac:dyDescent="0.25">
      <c r="A27" s="2">
        <v>25</v>
      </c>
      <c r="B27" s="4"/>
      <c r="C27" s="4"/>
      <c r="D27" s="4"/>
      <c r="E27" s="4"/>
      <c r="F27" s="4"/>
      <c r="G27" s="4"/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</row>
    <row r="28" spans="1:17" x14ac:dyDescent="0.25">
      <c r="A28" s="2">
        <v>26</v>
      </c>
      <c r="B28" s="4"/>
      <c r="C28" s="4"/>
      <c r="D28" s="4"/>
      <c r="E28" s="4"/>
      <c r="F28" s="4"/>
      <c r="G28" s="4"/>
      <c r="H28" s="4"/>
      <c r="I28" s="4"/>
      <c r="L28" s="4"/>
      <c r="M28" s="4">
        <v>1E-3</v>
      </c>
      <c r="O28" s="4"/>
      <c r="P28" s="4">
        <v>0</v>
      </c>
    </row>
    <row r="29" spans="1:17" x14ac:dyDescent="0.25">
      <c r="A29" s="2">
        <v>27</v>
      </c>
      <c r="B29" s="4"/>
      <c r="C29" s="4"/>
      <c r="D29" s="4"/>
      <c r="E29" s="4"/>
      <c r="F29" s="4"/>
      <c r="G29" s="4"/>
      <c r="H29" s="4"/>
      <c r="I29" s="4"/>
      <c r="L29" s="4"/>
      <c r="M29" s="4">
        <v>2E-3</v>
      </c>
      <c r="O29" s="4"/>
      <c r="P29" s="4">
        <v>0</v>
      </c>
    </row>
    <row r="30" spans="1:17" x14ac:dyDescent="0.25">
      <c r="A30" s="2">
        <v>28</v>
      </c>
      <c r="B30" s="4"/>
      <c r="C30" s="4"/>
      <c r="D30" s="4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</row>
    <row r="31" spans="1:17" x14ac:dyDescent="0.25">
      <c r="A31" s="2">
        <v>29</v>
      </c>
      <c r="B31" s="4"/>
      <c r="C31" s="4"/>
      <c r="D31" s="4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</row>
    <row r="32" spans="1:17" x14ac:dyDescent="0.25">
      <c r="A32" s="2">
        <v>30</v>
      </c>
      <c r="B32" s="4"/>
      <c r="C32" s="4"/>
      <c r="D32" s="4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</row>
    <row r="33" spans="1:16" x14ac:dyDescent="0.25">
      <c r="A33" s="2">
        <v>31</v>
      </c>
      <c r="B33" s="4"/>
      <c r="C33" s="4"/>
      <c r="D33" s="4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</row>
    <row r="34" spans="1:16" x14ac:dyDescent="0.25">
      <c r="A34" s="2">
        <v>32</v>
      </c>
      <c r="B34" s="4"/>
      <c r="C34" s="4"/>
      <c r="D34" s="4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</row>
    <row r="35" spans="1:16" x14ac:dyDescent="0.25">
      <c r="A35" s="2">
        <v>33</v>
      </c>
      <c r="B35" s="4"/>
      <c r="C35" s="4"/>
      <c r="D35" s="4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</row>
    <row r="36" spans="1:16" x14ac:dyDescent="0.25">
      <c r="A36" s="2">
        <v>34</v>
      </c>
      <c r="B36" s="4"/>
      <c r="C36" s="4"/>
      <c r="D36" s="4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</row>
    <row r="37" spans="1:16" x14ac:dyDescent="0.25">
      <c r="A37" s="2">
        <v>35</v>
      </c>
      <c r="B37" s="4"/>
      <c r="C37" s="4"/>
      <c r="D37" s="4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</row>
    <row r="38" spans="1:16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</row>
    <row r="39" spans="1:16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</row>
    <row r="40" spans="1:16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</row>
    <row r="41" spans="1:16" x14ac:dyDescent="0.25">
      <c r="A41" s="2">
        <v>39</v>
      </c>
      <c r="B41" s="4"/>
      <c r="C41" s="4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</row>
    <row r="42" spans="1:16" x14ac:dyDescent="0.25">
      <c r="A42" s="2">
        <v>40</v>
      </c>
      <c r="B42" s="4"/>
      <c r="C42" s="4"/>
      <c r="D42" s="4"/>
      <c r="E42" s="4"/>
      <c r="F42" s="4"/>
      <c r="G42" s="4"/>
      <c r="H42" s="4"/>
      <c r="I42" s="4"/>
      <c r="O42" s="4"/>
      <c r="P42" s="4">
        <v>0</v>
      </c>
    </row>
    <row r="43" spans="1:16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</row>
    <row r="44" spans="1:16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</row>
    <row r="45" spans="1:16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</row>
    <row r="46" spans="1:16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</row>
    <row r="47" spans="1:16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</row>
    <row r="48" spans="1:16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</row>
    <row r="49" spans="1:16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</row>
    <row r="50" spans="1:16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</row>
    <row r="51" spans="1:16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</row>
    <row r="52" spans="1:16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</row>
    <row r="53" spans="1:16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</row>
    <row r="54" spans="1:16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</row>
    <row r="55" spans="1:16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</row>
    <row r="56" spans="1:16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</row>
    <row r="57" spans="1:16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</row>
    <row r="58" spans="1:16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</row>
    <row r="59" spans="1:16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</row>
    <row r="60" spans="1:16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</row>
    <row r="61" spans="1:16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</row>
    <row r="62" spans="1:16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</row>
    <row r="63" spans="1:16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</row>
    <row r="64" spans="1:16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</row>
    <row r="65" spans="1:9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</row>
    <row r="66" spans="1:9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9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9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9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9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9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9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9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9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9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9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9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9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9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9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:M24"/>
  <sheetViews>
    <sheetView workbookViewId="0"/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" spans="13:13" x14ac:dyDescent="0.25">
      <c r="M2" s="5" t="s">
        <v>610</v>
      </c>
    </row>
    <row r="3" spans="13:13" x14ac:dyDescent="0.25">
      <c r="M3" s="1"/>
    </row>
    <row r="21" spans="2:4" x14ac:dyDescent="0.25">
      <c r="B21" s="5" t="s">
        <v>330</v>
      </c>
      <c r="C21" s="1"/>
      <c r="D21" s="5" t="s">
        <v>331</v>
      </c>
    </row>
    <row r="23" spans="2:4" x14ac:dyDescent="0.25">
      <c r="C23" s="5" t="s">
        <v>68</v>
      </c>
    </row>
    <row r="24" spans="2:4" x14ac:dyDescent="0.25">
      <c r="B24" s="5" t="s">
        <v>69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sheetPr codeName="工作表6"/>
  <dimension ref="B1:X11"/>
  <sheetViews>
    <sheetView workbookViewId="0"/>
  </sheetViews>
  <sheetFormatPr defaultColWidth="9" defaultRowHeight="15.75" x14ac:dyDescent="0.25"/>
  <cols>
    <col min="1" max="1" width="9" style="95"/>
    <col min="2" max="3" width="10.375" style="95" bestFit="1" customWidth="1"/>
    <col min="4" max="16384" width="9" style="95"/>
  </cols>
  <sheetData>
    <row r="1" spans="2:24" x14ac:dyDescent="0.25">
      <c r="B1" s="95" t="s">
        <v>571</v>
      </c>
      <c r="C1" s="95" t="s">
        <v>571</v>
      </c>
    </row>
    <row r="4" spans="2:24" x14ac:dyDescent="0.25">
      <c r="B4" s="95" t="s">
        <v>75</v>
      </c>
      <c r="C4" s="96">
        <f>COUNTA(D7:X7)</f>
        <v>10</v>
      </c>
    </row>
    <row r="5" spans="2:24" x14ac:dyDescent="0.25">
      <c r="B5" s="95" t="s">
        <v>572</v>
      </c>
      <c r="C5" s="97">
        <v>1000000</v>
      </c>
    </row>
    <row r="7" spans="2:24" x14ac:dyDescent="0.25">
      <c r="B7" s="98" t="s">
        <v>573</v>
      </c>
      <c r="C7" s="98" t="s">
        <v>574</v>
      </c>
      <c r="D7" s="99">
        <v>2.9</v>
      </c>
      <c r="E7" s="99">
        <v>3.3</v>
      </c>
      <c r="F7" s="99">
        <v>3.7</v>
      </c>
      <c r="G7" s="99">
        <v>4</v>
      </c>
      <c r="H7" s="99">
        <v>4.2</v>
      </c>
      <c r="I7" s="99">
        <v>4.5</v>
      </c>
      <c r="J7" s="99">
        <v>4.5999999999999996</v>
      </c>
      <c r="K7" s="99">
        <v>4.8</v>
      </c>
      <c r="L7" s="99">
        <v>5</v>
      </c>
      <c r="M7" s="99">
        <v>5.5</v>
      </c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2:24" x14ac:dyDescent="0.25">
      <c r="B8" s="98">
        <v>0</v>
      </c>
      <c r="C8" s="98">
        <v>0</v>
      </c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</row>
    <row r="9" spans="2:24" x14ac:dyDescent="0.25">
      <c r="B9" s="98">
        <v>0</v>
      </c>
      <c r="C9" s="98">
        <v>1</v>
      </c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</row>
    <row r="10" spans="2:24" x14ac:dyDescent="0.25">
      <c r="B10" s="98">
        <v>1</v>
      </c>
      <c r="C10" s="98">
        <v>0</v>
      </c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</row>
    <row r="11" spans="2:24" x14ac:dyDescent="0.25">
      <c r="B11" s="98">
        <v>1</v>
      </c>
      <c r="C11" s="98">
        <v>1</v>
      </c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20BC-0983-433F-AC2F-ECEA4B92AB9F}">
  <sheetPr codeName="工作表9"/>
  <dimension ref="A1:H352"/>
  <sheetViews>
    <sheetView workbookViewId="0"/>
  </sheetViews>
  <sheetFormatPr defaultColWidth="9" defaultRowHeight="15.75" x14ac:dyDescent="0.25"/>
  <cols>
    <col min="1" max="1" width="11.375" style="95" bestFit="1" customWidth="1"/>
    <col min="2" max="7" width="12.375" style="95" bestFit="1" customWidth="1"/>
    <col min="8" max="12" width="9" style="95"/>
    <col min="13" max="13" width="8" style="95" customWidth="1"/>
    <col min="14" max="16384" width="9" style="95"/>
  </cols>
  <sheetData>
    <row r="1" spans="1:8" x14ac:dyDescent="0.25">
      <c r="A1" s="95" t="s">
        <v>590</v>
      </c>
      <c r="B1" s="95" t="s">
        <v>591</v>
      </c>
      <c r="C1" s="95" t="s">
        <v>591</v>
      </c>
      <c r="D1" s="95" t="s">
        <v>591</v>
      </c>
      <c r="E1" s="95" t="s">
        <v>591</v>
      </c>
      <c r="F1" s="95" t="s">
        <v>591</v>
      </c>
      <c r="G1" s="95" t="s">
        <v>591</v>
      </c>
    </row>
    <row r="2" spans="1:8" x14ac:dyDescent="0.25">
      <c r="A2" s="95" t="s">
        <v>75</v>
      </c>
      <c r="B2" s="103">
        <f>COUNTA(B11:B302)</f>
        <v>74</v>
      </c>
      <c r="D2" s="100"/>
    </row>
    <row r="6" spans="1:8" x14ac:dyDescent="0.25">
      <c r="B6" s="100" t="s">
        <v>592</v>
      </c>
      <c r="C6" s="103">
        <v>3.7</v>
      </c>
      <c r="D6" s="100" t="s">
        <v>607</v>
      </c>
      <c r="E6" s="99">
        <v>0.6</v>
      </c>
      <c r="F6" s="100"/>
      <c r="G6" s="100"/>
      <c r="H6" s="100"/>
    </row>
    <row r="7" spans="1:8" x14ac:dyDescent="0.25">
      <c r="B7" s="100" t="s">
        <v>593</v>
      </c>
      <c r="C7" s="99">
        <v>0.1</v>
      </c>
      <c r="D7" s="100" t="s">
        <v>594</v>
      </c>
      <c r="E7" s="99">
        <v>0.02</v>
      </c>
      <c r="F7" s="100"/>
      <c r="G7" s="100"/>
      <c r="H7" s="100"/>
    </row>
    <row r="8" spans="1:8" x14ac:dyDescent="0.25">
      <c r="B8" s="100"/>
      <c r="C8" s="100"/>
      <c r="D8" s="155" t="s">
        <v>595</v>
      </c>
      <c r="E8" s="155"/>
      <c r="F8" s="155" t="s">
        <v>596</v>
      </c>
      <c r="G8" s="155"/>
      <c r="H8" s="100"/>
    </row>
    <row r="9" spans="1:8" x14ac:dyDescent="0.25">
      <c r="B9" s="100" t="s">
        <v>597</v>
      </c>
      <c r="C9" s="100" t="s">
        <v>598</v>
      </c>
      <c r="D9" s="100" t="s">
        <v>599</v>
      </c>
      <c r="E9" s="100" t="s">
        <v>600</v>
      </c>
      <c r="F9" s="100" t="s">
        <v>599</v>
      </c>
      <c r="G9" s="100" t="s">
        <v>600</v>
      </c>
      <c r="H9" s="104" t="s">
        <v>601</v>
      </c>
    </row>
    <row r="10" spans="1:8" x14ac:dyDescent="0.25">
      <c r="B10" s="100" t="s">
        <v>602</v>
      </c>
      <c r="C10" s="99">
        <v>3.3</v>
      </c>
      <c r="D10" s="103"/>
      <c r="E10" s="100">
        <f>100*(D10-C10)/C10</f>
        <v>-100</v>
      </c>
      <c r="F10" s="103"/>
      <c r="G10" s="100">
        <f>100*(F10-C10)/C10</f>
        <v>-100</v>
      </c>
      <c r="H10" s="104" t="s">
        <v>603</v>
      </c>
    </row>
    <row r="11" spans="1:8" x14ac:dyDescent="0.25">
      <c r="B11" s="99">
        <v>10</v>
      </c>
      <c r="C11" s="99">
        <v>2.8</v>
      </c>
      <c r="D11" s="103"/>
      <c r="E11" s="100">
        <f t="shared" ref="E11:E74" si="0">100*(D11-C11)/C11</f>
        <v>-100</v>
      </c>
      <c r="F11" s="103"/>
      <c r="G11" s="100">
        <f t="shared" ref="G11:G74" si="1">100*(F11-C11)/C11</f>
        <v>-100</v>
      </c>
      <c r="H11" s="100">
        <v>65</v>
      </c>
    </row>
    <row r="12" spans="1:8" x14ac:dyDescent="0.25">
      <c r="B12" s="99">
        <v>11</v>
      </c>
      <c r="C12" s="99">
        <v>2.9</v>
      </c>
      <c r="D12" s="103"/>
      <c r="E12" s="100">
        <f t="shared" si="0"/>
        <v>-100</v>
      </c>
      <c r="F12" s="103"/>
      <c r="G12" s="100">
        <f t="shared" si="1"/>
        <v>-100</v>
      </c>
      <c r="H12" s="100">
        <v>65</v>
      </c>
    </row>
    <row r="13" spans="1:8" x14ac:dyDescent="0.25">
      <c r="B13" s="99">
        <v>12</v>
      </c>
      <c r="C13" s="99">
        <v>3</v>
      </c>
      <c r="D13" s="103"/>
      <c r="E13" s="100">
        <f t="shared" si="0"/>
        <v>-100</v>
      </c>
      <c r="F13" s="103"/>
      <c r="G13" s="100">
        <f t="shared" si="1"/>
        <v>-100</v>
      </c>
      <c r="H13" s="100">
        <v>65</v>
      </c>
    </row>
    <row r="14" spans="1:8" x14ac:dyDescent="0.25">
      <c r="B14" s="99">
        <v>13</v>
      </c>
      <c r="C14" s="99">
        <v>3.1</v>
      </c>
      <c r="D14" s="103"/>
      <c r="E14" s="100">
        <f t="shared" si="0"/>
        <v>-100</v>
      </c>
      <c r="F14" s="103"/>
      <c r="G14" s="100">
        <f t="shared" si="1"/>
        <v>-100</v>
      </c>
      <c r="H14" s="100">
        <v>65</v>
      </c>
    </row>
    <row r="15" spans="1:8" x14ac:dyDescent="0.25">
      <c r="B15" s="99">
        <v>14</v>
      </c>
      <c r="C15" s="99">
        <v>3.2</v>
      </c>
      <c r="D15" s="103"/>
      <c r="E15" s="100">
        <f t="shared" si="0"/>
        <v>-100</v>
      </c>
      <c r="F15" s="103"/>
      <c r="G15" s="100">
        <f t="shared" si="1"/>
        <v>-100</v>
      </c>
      <c r="H15" s="100">
        <v>65</v>
      </c>
    </row>
    <row r="16" spans="1:8" x14ac:dyDescent="0.25">
      <c r="B16" s="99">
        <v>15</v>
      </c>
      <c r="C16" s="99">
        <v>3.3</v>
      </c>
      <c r="D16" s="103"/>
      <c r="E16" s="100">
        <f t="shared" si="0"/>
        <v>-100</v>
      </c>
      <c r="F16" s="103"/>
      <c r="G16" s="100">
        <f t="shared" si="1"/>
        <v>-100</v>
      </c>
      <c r="H16" s="100">
        <v>65</v>
      </c>
    </row>
    <row r="17" spans="2:8" x14ac:dyDescent="0.25">
      <c r="B17" s="99">
        <v>16</v>
      </c>
      <c r="C17" s="99">
        <v>3.4</v>
      </c>
      <c r="D17" s="103"/>
      <c r="E17" s="100">
        <f t="shared" si="0"/>
        <v>-100</v>
      </c>
      <c r="F17" s="103"/>
      <c r="G17" s="100">
        <f t="shared" si="1"/>
        <v>-100</v>
      </c>
      <c r="H17" s="100">
        <v>65</v>
      </c>
    </row>
    <row r="18" spans="2:8" x14ac:dyDescent="0.25">
      <c r="B18" s="99">
        <v>17</v>
      </c>
      <c r="C18" s="99">
        <v>3.5</v>
      </c>
      <c r="D18" s="103"/>
      <c r="E18" s="100">
        <f t="shared" si="0"/>
        <v>-100</v>
      </c>
      <c r="F18" s="103"/>
      <c r="G18" s="100">
        <f t="shared" si="1"/>
        <v>-100</v>
      </c>
      <c r="H18" s="100">
        <v>65</v>
      </c>
    </row>
    <row r="19" spans="2:8" x14ac:dyDescent="0.25">
      <c r="B19" s="99">
        <v>18</v>
      </c>
      <c r="C19" s="99">
        <v>3.6</v>
      </c>
      <c r="D19" s="103"/>
      <c r="E19" s="100">
        <f t="shared" si="0"/>
        <v>-100</v>
      </c>
      <c r="F19" s="103"/>
      <c r="G19" s="100">
        <f t="shared" si="1"/>
        <v>-100</v>
      </c>
      <c r="H19" s="100">
        <v>65</v>
      </c>
    </row>
    <row r="20" spans="2:8" x14ac:dyDescent="0.25">
      <c r="B20" s="99">
        <v>19</v>
      </c>
      <c r="C20" s="99">
        <v>3.7</v>
      </c>
      <c r="D20" s="103"/>
      <c r="E20" s="100">
        <f t="shared" si="0"/>
        <v>-100</v>
      </c>
      <c r="F20" s="103"/>
      <c r="G20" s="100">
        <f t="shared" si="1"/>
        <v>-100</v>
      </c>
      <c r="H20" s="100">
        <v>65</v>
      </c>
    </row>
    <row r="21" spans="2:8" x14ac:dyDescent="0.25">
      <c r="B21" s="99">
        <v>20</v>
      </c>
      <c r="C21" s="99">
        <v>3.8</v>
      </c>
      <c r="D21" s="103"/>
      <c r="E21" s="100">
        <f t="shared" si="0"/>
        <v>-100</v>
      </c>
      <c r="F21" s="103"/>
      <c r="G21" s="100">
        <f t="shared" si="1"/>
        <v>-100</v>
      </c>
      <c r="H21" s="100">
        <v>65</v>
      </c>
    </row>
    <row r="22" spans="2:8" x14ac:dyDescent="0.25">
      <c r="B22" s="99">
        <v>21</v>
      </c>
      <c r="C22" s="99">
        <v>3.9</v>
      </c>
      <c r="D22" s="103"/>
      <c r="E22" s="100">
        <f t="shared" si="0"/>
        <v>-100</v>
      </c>
      <c r="F22" s="103"/>
      <c r="G22" s="100">
        <f t="shared" si="1"/>
        <v>-100</v>
      </c>
      <c r="H22" s="100">
        <v>65</v>
      </c>
    </row>
    <row r="23" spans="2:8" x14ac:dyDescent="0.25">
      <c r="B23" s="99">
        <v>22</v>
      </c>
      <c r="C23" s="99">
        <v>4</v>
      </c>
      <c r="D23" s="103"/>
      <c r="E23" s="100">
        <f t="shared" si="0"/>
        <v>-100</v>
      </c>
      <c r="F23" s="103"/>
      <c r="G23" s="100">
        <f t="shared" si="1"/>
        <v>-100</v>
      </c>
      <c r="H23" s="100">
        <v>65</v>
      </c>
    </row>
    <row r="24" spans="2:8" x14ac:dyDescent="0.25">
      <c r="B24" s="99">
        <v>23</v>
      </c>
      <c r="C24" s="99">
        <v>4.0999999999999996</v>
      </c>
      <c r="D24" s="103"/>
      <c r="E24" s="100">
        <f t="shared" si="0"/>
        <v>-100</v>
      </c>
      <c r="F24" s="103"/>
      <c r="G24" s="100">
        <f t="shared" si="1"/>
        <v>-100</v>
      </c>
      <c r="H24" s="100">
        <v>65</v>
      </c>
    </row>
    <row r="25" spans="2:8" x14ac:dyDescent="0.25">
      <c r="B25" s="99">
        <v>24</v>
      </c>
      <c r="C25" s="99">
        <v>4.2</v>
      </c>
      <c r="D25" s="103"/>
      <c r="E25" s="100">
        <f t="shared" si="0"/>
        <v>-100</v>
      </c>
      <c r="F25" s="103"/>
      <c r="G25" s="100">
        <f t="shared" si="1"/>
        <v>-100</v>
      </c>
      <c r="H25" s="100">
        <v>65</v>
      </c>
    </row>
    <row r="26" spans="2:8" x14ac:dyDescent="0.25">
      <c r="B26" s="99">
        <v>25</v>
      </c>
      <c r="C26" s="99">
        <v>4.3</v>
      </c>
      <c r="D26" s="103"/>
      <c r="E26" s="100">
        <f t="shared" si="0"/>
        <v>-100</v>
      </c>
      <c r="F26" s="103"/>
      <c r="G26" s="100">
        <f t="shared" si="1"/>
        <v>-100</v>
      </c>
      <c r="H26" s="100">
        <v>65</v>
      </c>
    </row>
    <row r="27" spans="2:8" x14ac:dyDescent="0.25">
      <c r="B27" s="99">
        <v>26</v>
      </c>
      <c r="C27" s="99">
        <v>4.4000000000000004</v>
      </c>
      <c r="D27" s="103"/>
      <c r="E27" s="100">
        <f t="shared" si="0"/>
        <v>-100</v>
      </c>
      <c r="F27" s="103"/>
      <c r="G27" s="100">
        <f t="shared" si="1"/>
        <v>-100</v>
      </c>
      <c r="H27" s="100">
        <v>65</v>
      </c>
    </row>
    <row r="28" spans="2:8" x14ac:dyDescent="0.25">
      <c r="B28" s="99">
        <v>27</v>
      </c>
      <c r="C28" s="99">
        <v>4.5</v>
      </c>
      <c r="D28" s="103"/>
      <c r="E28" s="100">
        <f t="shared" si="0"/>
        <v>-100</v>
      </c>
      <c r="F28" s="103"/>
      <c r="G28" s="100">
        <f t="shared" si="1"/>
        <v>-100</v>
      </c>
      <c r="H28" s="100">
        <v>65</v>
      </c>
    </row>
    <row r="29" spans="2:8" x14ac:dyDescent="0.25">
      <c r="B29" s="99">
        <v>28</v>
      </c>
      <c r="C29" s="99">
        <v>4.5999999999999996</v>
      </c>
      <c r="D29" s="103"/>
      <c r="E29" s="100">
        <f t="shared" si="0"/>
        <v>-100</v>
      </c>
      <c r="F29" s="103"/>
      <c r="G29" s="100">
        <f t="shared" si="1"/>
        <v>-100</v>
      </c>
      <c r="H29" s="100">
        <v>65</v>
      </c>
    </row>
    <row r="30" spans="2:8" x14ac:dyDescent="0.25">
      <c r="B30" s="99">
        <v>29</v>
      </c>
      <c r="C30" s="99">
        <v>4.7</v>
      </c>
      <c r="D30" s="103"/>
      <c r="E30" s="100">
        <f t="shared" si="0"/>
        <v>-100</v>
      </c>
      <c r="F30" s="103"/>
      <c r="G30" s="100">
        <f t="shared" si="1"/>
        <v>-100</v>
      </c>
      <c r="H30" s="100">
        <v>65</v>
      </c>
    </row>
    <row r="31" spans="2:8" x14ac:dyDescent="0.25">
      <c r="B31" s="99">
        <v>30</v>
      </c>
      <c r="C31" s="99">
        <v>4.8</v>
      </c>
      <c r="D31" s="103"/>
      <c r="E31" s="100">
        <f t="shared" si="0"/>
        <v>-100</v>
      </c>
      <c r="F31" s="103"/>
      <c r="G31" s="100">
        <f t="shared" si="1"/>
        <v>-100</v>
      </c>
      <c r="H31" s="100">
        <v>65</v>
      </c>
    </row>
    <row r="32" spans="2:8" x14ac:dyDescent="0.25">
      <c r="B32" s="99">
        <v>31</v>
      </c>
      <c r="C32" s="99">
        <v>4.9000000000000004</v>
      </c>
      <c r="D32" s="103"/>
      <c r="E32" s="100">
        <f t="shared" si="0"/>
        <v>-100</v>
      </c>
      <c r="F32" s="103"/>
      <c r="G32" s="100">
        <f t="shared" si="1"/>
        <v>-100</v>
      </c>
      <c r="H32" s="100">
        <v>65</v>
      </c>
    </row>
    <row r="33" spans="2:8" x14ac:dyDescent="0.25">
      <c r="B33" s="99">
        <v>32</v>
      </c>
      <c r="C33" s="99">
        <v>5</v>
      </c>
      <c r="D33" s="103"/>
      <c r="E33" s="100">
        <f t="shared" si="0"/>
        <v>-100</v>
      </c>
      <c r="F33" s="103"/>
      <c r="G33" s="100">
        <f t="shared" si="1"/>
        <v>-100</v>
      </c>
      <c r="H33" s="100">
        <v>65</v>
      </c>
    </row>
    <row r="34" spans="2:8" x14ac:dyDescent="0.25">
      <c r="B34" s="99">
        <v>33</v>
      </c>
      <c r="C34" s="99">
        <v>5.0999999999999996</v>
      </c>
      <c r="D34" s="103"/>
      <c r="E34" s="100">
        <f t="shared" si="0"/>
        <v>-100</v>
      </c>
      <c r="F34" s="103"/>
      <c r="G34" s="100">
        <f t="shared" si="1"/>
        <v>-100</v>
      </c>
      <c r="H34" s="100">
        <v>65</v>
      </c>
    </row>
    <row r="35" spans="2:8" x14ac:dyDescent="0.25">
      <c r="B35" s="99">
        <v>34</v>
      </c>
      <c r="C35" s="99">
        <v>5.2</v>
      </c>
      <c r="D35" s="103"/>
      <c r="E35" s="100">
        <f t="shared" si="0"/>
        <v>-100</v>
      </c>
      <c r="F35" s="103"/>
      <c r="G35" s="100">
        <f t="shared" si="1"/>
        <v>-100</v>
      </c>
      <c r="H35" s="100">
        <v>65</v>
      </c>
    </row>
    <row r="36" spans="2:8" x14ac:dyDescent="0.25">
      <c r="B36" s="99">
        <v>35</v>
      </c>
      <c r="C36" s="99">
        <v>5.3</v>
      </c>
      <c r="D36" s="103"/>
      <c r="E36" s="100">
        <f t="shared" si="0"/>
        <v>-100</v>
      </c>
      <c r="F36" s="103"/>
      <c r="G36" s="100">
        <f t="shared" si="1"/>
        <v>-100</v>
      </c>
      <c r="H36" s="100">
        <v>65</v>
      </c>
    </row>
    <row r="37" spans="2:8" x14ac:dyDescent="0.25">
      <c r="B37" s="99">
        <v>92</v>
      </c>
      <c r="C37" s="99">
        <v>-0.6</v>
      </c>
      <c r="D37" s="103"/>
      <c r="E37" s="100">
        <f t="shared" si="0"/>
        <v>-100</v>
      </c>
      <c r="F37" s="103"/>
      <c r="G37" s="100">
        <f t="shared" si="1"/>
        <v>-100</v>
      </c>
      <c r="H37" s="100">
        <v>15</v>
      </c>
    </row>
    <row r="38" spans="2:8" x14ac:dyDescent="0.25">
      <c r="B38" s="99">
        <v>91</v>
      </c>
      <c r="C38" s="99">
        <v>-0.7</v>
      </c>
      <c r="D38" s="103"/>
      <c r="E38" s="100">
        <f t="shared" si="0"/>
        <v>-100</v>
      </c>
      <c r="F38" s="103"/>
      <c r="G38" s="100">
        <f t="shared" si="1"/>
        <v>-100</v>
      </c>
      <c r="H38" s="100">
        <v>15</v>
      </c>
    </row>
    <row r="39" spans="2:8" x14ac:dyDescent="0.25">
      <c r="B39" s="99">
        <v>90</v>
      </c>
      <c r="C39" s="99">
        <v>-0.8</v>
      </c>
      <c r="D39" s="103"/>
      <c r="E39" s="100">
        <f t="shared" si="0"/>
        <v>-100</v>
      </c>
      <c r="F39" s="103"/>
      <c r="G39" s="100">
        <f t="shared" si="1"/>
        <v>-100</v>
      </c>
      <c r="H39" s="100">
        <v>15</v>
      </c>
    </row>
    <row r="40" spans="2:8" x14ac:dyDescent="0.25">
      <c r="B40" s="99">
        <v>89</v>
      </c>
      <c r="C40" s="99">
        <v>-0.9</v>
      </c>
      <c r="D40" s="103"/>
      <c r="E40" s="100">
        <f t="shared" si="0"/>
        <v>-100</v>
      </c>
      <c r="F40" s="103"/>
      <c r="G40" s="100">
        <f t="shared" si="1"/>
        <v>-100</v>
      </c>
      <c r="H40" s="100">
        <v>15</v>
      </c>
    </row>
    <row r="41" spans="2:8" x14ac:dyDescent="0.25">
      <c r="B41" s="99">
        <v>88</v>
      </c>
      <c r="C41" s="99">
        <v>-1</v>
      </c>
      <c r="D41" s="103"/>
      <c r="E41" s="100">
        <f t="shared" si="0"/>
        <v>-100</v>
      </c>
      <c r="F41" s="103"/>
      <c r="G41" s="100">
        <f t="shared" si="1"/>
        <v>-100</v>
      </c>
      <c r="H41" s="100">
        <v>15</v>
      </c>
    </row>
    <row r="42" spans="2:8" x14ac:dyDescent="0.25">
      <c r="B42" s="99">
        <v>87</v>
      </c>
      <c r="C42" s="99">
        <v>-1.1000000000000001</v>
      </c>
      <c r="D42" s="103"/>
      <c r="E42" s="100">
        <f t="shared" si="0"/>
        <v>-100</v>
      </c>
      <c r="F42" s="103"/>
      <c r="G42" s="100">
        <f t="shared" si="1"/>
        <v>-100</v>
      </c>
      <c r="H42" s="100">
        <v>15</v>
      </c>
    </row>
    <row r="43" spans="2:8" x14ac:dyDescent="0.25">
      <c r="B43" s="99">
        <v>86</v>
      </c>
      <c r="C43" s="99">
        <v>-1.2</v>
      </c>
      <c r="D43" s="103"/>
      <c r="E43" s="100">
        <f t="shared" si="0"/>
        <v>-100</v>
      </c>
      <c r="F43" s="103"/>
      <c r="G43" s="100">
        <f t="shared" si="1"/>
        <v>-100</v>
      </c>
      <c r="H43" s="100">
        <v>15</v>
      </c>
    </row>
    <row r="44" spans="2:8" x14ac:dyDescent="0.25">
      <c r="B44" s="99">
        <v>85</v>
      </c>
      <c r="C44" s="99">
        <v>-1.3</v>
      </c>
      <c r="D44" s="103"/>
      <c r="E44" s="100">
        <f t="shared" si="0"/>
        <v>-100</v>
      </c>
      <c r="F44" s="103"/>
      <c r="G44" s="100">
        <f t="shared" si="1"/>
        <v>-100</v>
      </c>
      <c r="H44" s="100">
        <v>15</v>
      </c>
    </row>
    <row r="45" spans="2:8" x14ac:dyDescent="0.25">
      <c r="B45" s="99">
        <v>84</v>
      </c>
      <c r="C45" s="99">
        <v>-1.4</v>
      </c>
      <c r="D45" s="103"/>
      <c r="E45" s="100">
        <f t="shared" si="0"/>
        <v>-100</v>
      </c>
      <c r="F45" s="103"/>
      <c r="G45" s="100">
        <f t="shared" si="1"/>
        <v>-100</v>
      </c>
      <c r="H45" s="100">
        <v>15</v>
      </c>
    </row>
    <row r="46" spans="2:8" x14ac:dyDescent="0.25">
      <c r="B46" s="99">
        <v>83</v>
      </c>
      <c r="C46" s="99">
        <v>-1.5</v>
      </c>
      <c r="D46" s="103"/>
      <c r="E46" s="100">
        <f t="shared" si="0"/>
        <v>-100</v>
      </c>
      <c r="F46" s="103"/>
      <c r="G46" s="100">
        <f t="shared" si="1"/>
        <v>-100</v>
      </c>
      <c r="H46" s="100">
        <v>15</v>
      </c>
    </row>
    <row r="47" spans="2:8" x14ac:dyDescent="0.25">
      <c r="B47" s="99">
        <v>82</v>
      </c>
      <c r="C47" s="99">
        <v>-1.6</v>
      </c>
      <c r="D47" s="103"/>
      <c r="E47" s="100">
        <f t="shared" si="0"/>
        <v>-100</v>
      </c>
      <c r="F47" s="103"/>
      <c r="G47" s="100">
        <f t="shared" si="1"/>
        <v>-100</v>
      </c>
      <c r="H47" s="100">
        <v>15</v>
      </c>
    </row>
    <row r="48" spans="2:8" x14ac:dyDescent="0.25">
      <c r="B48" s="99">
        <v>81</v>
      </c>
      <c r="C48" s="99">
        <v>-1.7</v>
      </c>
      <c r="D48" s="103"/>
      <c r="E48" s="100">
        <f t="shared" si="0"/>
        <v>-100</v>
      </c>
      <c r="F48" s="103"/>
      <c r="G48" s="100">
        <f t="shared" si="1"/>
        <v>-100</v>
      </c>
      <c r="H48" s="100">
        <v>15</v>
      </c>
    </row>
    <row r="49" spans="2:8" x14ac:dyDescent="0.25">
      <c r="B49" s="99">
        <v>80</v>
      </c>
      <c r="C49" s="99">
        <v>-1.8</v>
      </c>
      <c r="D49" s="103"/>
      <c r="E49" s="100">
        <f t="shared" si="0"/>
        <v>-100</v>
      </c>
      <c r="F49" s="103"/>
      <c r="G49" s="100">
        <f t="shared" si="1"/>
        <v>-100</v>
      </c>
      <c r="H49" s="100">
        <v>15</v>
      </c>
    </row>
    <row r="50" spans="2:8" x14ac:dyDescent="0.25">
      <c r="B50" s="99">
        <v>79</v>
      </c>
      <c r="C50" s="99">
        <v>-1.9</v>
      </c>
      <c r="D50" s="103"/>
      <c r="E50" s="100">
        <f t="shared" si="0"/>
        <v>-100</v>
      </c>
      <c r="F50" s="103"/>
      <c r="G50" s="100">
        <f t="shared" si="1"/>
        <v>-100</v>
      </c>
      <c r="H50" s="100">
        <v>15</v>
      </c>
    </row>
    <row r="51" spans="2:8" x14ac:dyDescent="0.25">
      <c r="B51" s="99">
        <v>78</v>
      </c>
      <c r="C51" s="99">
        <v>-2</v>
      </c>
      <c r="D51" s="103"/>
      <c r="E51" s="100">
        <f t="shared" si="0"/>
        <v>-100</v>
      </c>
      <c r="F51" s="103"/>
      <c r="G51" s="100">
        <f t="shared" si="1"/>
        <v>-100</v>
      </c>
      <c r="H51" s="100">
        <v>15</v>
      </c>
    </row>
    <row r="52" spans="2:8" x14ac:dyDescent="0.25">
      <c r="B52" s="99">
        <v>77</v>
      </c>
      <c r="C52" s="99">
        <v>-2.1</v>
      </c>
      <c r="D52" s="103"/>
      <c r="E52" s="100">
        <f t="shared" si="0"/>
        <v>-100</v>
      </c>
      <c r="F52" s="103"/>
      <c r="G52" s="100">
        <f t="shared" si="1"/>
        <v>-100</v>
      </c>
      <c r="H52" s="100">
        <v>15</v>
      </c>
    </row>
    <row r="53" spans="2:8" x14ac:dyDescent="0.25">
      <c r="B53" s="99">
        <v>76</v>
      </c>
      <c r="C53" s="99">
        <v>-2.2000000000000002</v>
      </c>
      <c r="D53" s="103"/>
      <c r="E53" s="100">
        <f t="shared" si="0"/>
        <v>-100</v>
      </c>
      <c r="F53" s="103"/>
      <c r="G53" s="100">
        <f t="shared" si="1"/>
        <v>-100</v>
      </c>
      <c r="H53" s="100">
        <v>15</v>
      </c>
    </row>
    <row r="54" spans="2:8" x14ac:dyDescent="0.25">
      <c r="B54" s="99">
        <v>75</v>
      </c>
      <c r="C54" s="99">
        <v>-2.2999999999999998</v>
      </c>
      <c r="D54" s="103"/>
      <c r="E54" s="100">
        <f t="shared" si="0"/>
        <v>-100</v>
      </c>
      <c r="F54" s="103"/>
      <c r="G54" s="100">
        <f t="shared" si="1"/>
        <v>-100</v>
      </c>
      <c r="H54" s="100">
        <v>15</v>
      </c>
    </row>
    <row r="55" spans="2:8" x14ac:dyDescent="0.25">
      <c r="B55" s="99">
        <v>74</v>
      </c>
      <c r="C55" s="99">
        <v>-2.4</v>
      </c>
      <c r="D55" s="103"/>
      <c r="E55" s="100">
        <f t="shared" si="0"/>
        <v>-100</v>
      </c>
      <c r="F55" s="103"/>
      <c r="G55" s="100">
        <f t="shared" si="1"/>
        <v>-100</v>
      </c>
      <c r="H55" s="100">
        <v>15</v>
      </c>
    </row>
    <row r="56" spans="2:8" x14ac:dyDescent="0.25">
      <c r="B56" s="99">
        <v>73</v>
      </c>
      <c r="C56" s="99">
        <v>-2.5</v>
      </c>
      <c r="D56" s="103"/>
      <c r="E56" s="100">
        <f t="shared" si="0"/>
        <v>-100</v>
      </c>
      <c r="F56" s="103"/>
      <c r="G56" s="100">
        <f t="shared" si="1"/>
        <v>-100</v>
      </c>
      <c r="H56" s="100">
        <v>15</v>
      </c>
    </row>
    <row r="57" spans="2:8" x14ac:dyDescent="0.25">
      <c r="B57" s="99">
        <v>72</v>
      </c>
      <c r="C57" s="99">
        <v>-2.6</v>
      </c>
      <c r="D57" s="103"/>
      <c r="E57" s="100">
        <f t="shared" si="0"/>
        <v>-100</v>
      </c>
      <c r="F57" s="103"/>
      <c r="G57" s="100">
        <f t="shared" si="1"/>
        <v>-100</v>
      </c>
      <c r="H57" s="100">
        <v>15</v>
      </c>
    </row>
    <row r="58" spans="2:8" x14ac:dyDescent="0.25">
      <c r="B58" s="99">
        <v>71</v>
      </c>
      <c r="C58" s="99">
        <v>-2.7</v>
      </c>
      <c r="D58" s="103"/>
      <c r="E58" s="100">
        <f t="shared" si="0"/>
        <v>-100</v>
      </c>
      <c r="F58" s="103"/>
      <c r="G58" s="100">
        <f t="shared" si="1"/>
        <v>-100</v>
      </c>
      <c r="H58" s="100">
        <v>15</v>
      </c>
    </row>
    <row r="59" spans="2:8" x14ac:dyDescent="0.25">
      <c r="B59" s="99">
        <v>70</v>
      </c>
      <c r="C59" s="99">
        <v>-2.8</v>
      </c>
      <c r="D59" s="103"/>
      <c r="E59" s="100">
        <f t="shared" si="0"/>
        <v>-100</v>
      </c>
      <c r="F59" s="103"/>
      <c r="G59" s="100">
        <f t="shared" si="1"/>
        <v>-100</v>
      </c>
      <c r="H59" s="100">
        <v>15</v>
      </c>
    </row>
    <row r="60" spans="2:8" x14ac:dyDescent="0.25">
      <c r="B60" s="99">
        <v>69</v>
      </c>
      <c r="C60" s="99">
        <v>-2.9</v>
      </c>
      <c r="D60" s="103"/>
      <c r="E60" s="100">
        <f t="shared" si="0"/>
        <v>-100</v>
      </c>
      <c r="F60" s="103"/>
      <c r="G60" s="100">
        <f t="shared" si="1"/>
        <v>-100</v>
      </c>
      <c r="H60" s="100">
        <v>15</v>
      </c>
    </row>
    <row r="61" spans="2:8" x14ac:dyDescent="0.25">
      <c r="B61" s="99">
        <v>68</v>
      </c>
      <c r="C61" s="99">
        <v>-3</v>
      </c>
      <c r="D61" s="103"/>
      <c r="E61" s="100">
        <f t="shared" si="0"/>
        <v>-100</v>
      </c>
      <c r="F61" s="103"/>
      <c r="G61" s="100">
        <f t="shared" si="1"/>
        <v>-100</v>
      </c>
      <c r="H61" s="100">
        <v>15</v>
      </c>
    </row>
    <row r="62" spans="2:8" x14ac:dyDescent="0.25">
      <c r="B62" s="99">
        <v>67</v>
      </c>
      <c r="C62" s="99">
        <v>-3.1</v>
      </c>
      <c r="D62" s="103"/>
      <c r="E62" s="100">
        <f t="shared" si="0"/>
        <v>-100</v>
      </c>
      <c r="F62" s="103"/>
      <c r="G62" s="100">
        <f t="shared" si="1"/>
        <v>-100</v>
      </c>
      <c r="H62" s="100">
        <v>15</v>
      </c>
    </row>
    <row r="63" spans="2:8" x14ac:dyDescent="0.25">
      <c r="B63" s="99">
        <v>66</v>
      </c>
      <c r="C63" s="99">
        <v>-3.2</v>
      </c>
      <c r="D63" s="103"/>
      <c r="E63" s="100">
        <f t="shared" si="0"/>
        <v>-100</v>
      </c>
      <c r="F63" s="103"/>
      <c r="G63" s="100">
        <f t="shared" si="1"/>
        <v>-100</v>
      </c>
      <c r="H63" s="100">
        <v>15</v>
      </c>
    </row>
    <row r="64" spans="2:8" x14ac:dyDescent="0.25">
      <c r="B64" s="99">
        <v>65</v>
      </c>
      <c r="C64" s="99">
        <v>-3.3</v>
      </c>
      <c r="D64" s="103"/>
      <c r="E64" s="100">
        <f t="shared" si="0"/>
        <v>-100</v>
      </c>
      <c r="F64" s="103"/>
      <c r="G64" s="100">
        <f t="shared" si="1"/>
        <v>-100</v>
      </c>
      <c r="H64" s="100">
        <v>15</v>
      </c>
    </row>
    <row r="65" spans="2:8" x14ac:dyDescent="0.25">
      <c r="B65" s="99">
        <v>64</v>
      </c>
      <c r="C65" s="99">
        <v>-3.4</v>
      </c>
      <c r="D65" s="103"/>
      <c r="E65" s="100">
        <f t="shared" si="0"/>
        <v>-100</v>
      </c>
      <c r="F65" s="103"/>
      <c r="G65" s="100">
        <f t="shared" si="1"/>
        <v>-100</v>
      </c>
      <c r="H65" s="100">
        <v>15</v>
      </c>
    </row>
    <row r="66" spans="2:8" x14ac:dyDescent="0.25">
      <c r="B66" s="99">
        <v>63</v>
      </c>
      <c r="C66" s="99">
        <v>-3.5</v>
      </c>
      <c r="D66" s="103"/>
      <c r="E66" s="100">
        <f t="shared" si="0"/>
        <v>-100</v>
      </c>
      <c r="F66" s="103"/>
      <c r="G66" s="100">
        <f t="shared" si="1"/>
        <v>-100</v>
      </c>
      <c r="H66" s="100">
        <v>15</v>
      </c>
    </row>
    <row r="67" spans="2:8" x14ac:dyDescent="0.25">
      <c r="B67" s="99">
        <v>62</v>
      </c>
      <c r="C67" s="99">
        <v>-3.6</v>
      </c>
      <c r="D67" s="103"/>
      <c r="E67" s="100">
        <f t="shared" si="0"/>
        <v>-100</v>
      </c>
      <c r="F67" s="103"/>
      <c r="G67" s="100">
        <f t="shared" si="1"/>
        <v>-100</v>
      </c>
      <c r="H67" s="100">
        <v>15</v>
      </c>
    </row>
    <row r="68" spans="2:8" x14ac:dyDescent="0.25">
      <c r="B68" s="99">
        <v>61</v>
      </c>
      <c r="C68" s="99">
        <v>-3.7</v>
      </c>
      <c r="D68" s="103"/>
      <c r="E68" s="100">
        <f t="shared" si="0"/>
        <v>-100</v>
      </c>
      <c r="F68" s="103"/>
      <c r="G68" s="100">
        <f t="shared" si="1"/>
        <v>-100</v>
      </c>
      <c r="H68" s="100">
        <v>15</v>
      </c>
    </row>
    <row r="69" spans="2:8" x14ac:dyDescent="0.25">
      <c r="B69" s="99">
        <v>60</v>
      </c>
      <c r="C69" s="99">
        <v>-3.8</v>
      </c>
      <c r="D69" s="103"/>
      <c r="E69" s="100">
        <f t="shared" si="0"/>
        <v>-100</v>
      </c>
      <c r="F69" s="103"/>
      <c r="G69" s="100">
        <f t="shared" si="1"/>
        <v>-100</v>
      </c>
      <c r="H69" s="100">
        <v>15</v>
      </c>
    </row>
    <row r="70" spans="2:8" x14ac:dyDescent="0.25">
      <c r="B70" s="99">
        <v>59</v>
      </c>
      <c r="C70" s="99">
        <v>-3.9</v>
      </c>
      <c r="D70" s="103"/>
      <c r="E70" s="100">
        <f t="shared" si="0"/>
        <v>-100</v>
      </c>
      <c r="F70" s="103"/>
      <c r="G70" s="100">
        <f t="shared" si="1"/>
        <v>-100</v>
      </c>
      <c r="H70" s="100">
        <v>15</v>
      </c>
    </row>
    <row r="71" spans="2:8" x14ac:dyDescent="0.25">
      <c r="B71" s="99">
        <v>58</v>
      </c>
      <c r="C71" s="99">
        <v>-4</v>
      </c>
      <c r="D71" s="103"/>
      <c r="E71" s="100">
        <f t="shared" si="0"/>
        <v>-100</v>
      </c>
      <c r="F71" s="103"/>
      <c r="G71" s="100">
        <f t="shared" si="1"/>
        <v>-100</v>
      </c>
      <c r="H71" s="100">
        <v>15</v>
      </c>
    </row>
    <row r="72" spans="2:8" x14ac:dyDescent="0.25">
      <c r="B72" s="99">
        <v>57</v>
      </c>
      <c r="C72" s="99">
        <v>-4.0999999999999996</v>
      </c>
      <c r="D72" s="103"/>
      <c r="E72" s="100">
        <f t="shared" si="0"/>
        <v>-100</v>
      </c>
      <c r="F72" s="103"/>
      <c r="G72" s="100">
        <f t="shared" si="1"/>
        <v>-100</v>
      </c>
      <c r="H72" s="100">
        <v>15</v>
      </c>
    </row>
    <row r="73" spans="2:8" x14ac:dyDescent="0.25">
      <c r="B73" s="99">
        <v>56</v>
      </c>
      <c r="C73" s="99">
        <v>-4.2</v>
      </c>
      <c r="D73" s="103"/>
      <c r="E73" s="100">
        <f t="shared" si="0"/>
        <v>-100</v>
      </c>
      <c r="F73" s="103"/>
      <c r="G73" s="100">
        <f t="shared" si="1"/>
        <v>-100</v>
      </c>
      <c r="H73" s="100">
        <v>15</v>
      </c>
    </row>
    <row r="74" spans="2:8" x14ac:dyDescent="0.25">
      <c r="B74" s="99">
        <v>55</v>
      </c>
      <c r="C74" s="99">
        <v>-4.3</v>
      </c>
      <c r="D74" s="103"/>
      <c r="E74" s="100">
        <f t="shared" si="0"/>
        <v>-100</v>
      </c>
      <c r="F74" s="103"/>
      <c r="G74" s="100">
        <f t="shared" si="1"/>
        <v>-100</v>
      </c>
      <c r="H74" s="100">
        <v>15</v>
      </c>
    </row>
    <row r="75" spans="2:8" x14ac:dyDescent="0.25">
      <c r="B75" s="99">
        <v>54</v>
      </c>
      <c r="C75" s="99">
        <v>-4.4000000000000004</v>
      </c>
      <c r="D75" s="103"/>
      <c r="E75" s="100">
        <f t="shared" ref="E75:E138" si="2">100*(D75-C75)/C75</f>
        <v>-100</v>
      </c>
      <c r="F75" s="103"/>
      <c r="G75" s="100">
        <f t="shared" ref="G75:G138" si="3">100*(F75-C75)/C75</f>
        <v>-100</v>
      </c>
      <c r="H75" s="100">
        <v>15</v>
      </c>
    </row>
    <row r="76" spans="2:8" x14ac:dyDescent="0.25">
      <c r="B76" s="99">
        <v>53</v>
      </c>
      <c r="C76" s="99">
        <v>-4.5</v>
      </c>
      <c r="D76" s="103"/>
      <c r="E76" s="100">
        <f t="shared" si="2"/>
        <v>-100</v>
      </c>
      <c r="F76" s="103"/>
      <c r="G76" s="100">
        <f t="shared" si="3"/>
        <v>-100</v>
      </c>
      <c r="H76" s="100">
        <v>15</v>
      </c>
    </row>
    <row r="77" spans="2:8" x14ac:dyDescent="0.25">
      <c r="B77" s="99">
        <v>52</v>
      </c>
      <c r="C77" s="99">
        <v>-4.5999999999999996</v>
      </c>
      <c r="D77" s="103"/>
      <c r="E77" s="100">
        <f t="shared" si="2"/>
        <v>-100</v>
      </c>
      <c r="F77" s="103"/>
      <c r="G77" s="100">
        <f t="shared" si="3"/>
        <v>-100</v>
      </c>
      <c r="H77" s="100">
        <v>15</v>
      </c>
    </row>
    <row r="78" spans="2:8" x14ac:dyDescent="0.25">
      <c r="B78" s="99">
        <v>51</v>
      </c>
      <c r="C78" s="99">
        <v>-4.7</v>
      </c>
      <c r="D78" s="103"/>
      <c r="E78" s="100">
        <f t="shared" si="2"/>
        <v>-100</v>
      </c>
      <c r="F78" s="103"/>
      <c r="G78" s="100">
        <f t="shared" si="3"/>
        <v>-100</v>
      </c>
      <c r="H78" s="100">
        <v>15</v>
      </c>
    </row>
    <row r="79" spans="2:8" x14ac:dyDescent="0.25">
      <c r="B79" s="99">
        <v>50</v>
      </c>
      <c r="C79" s="99">
        <v>-4.8</v>
      </c>
      <c r="D79" s="103"/>
      <c r="E79" s="100">
        <f t="shared" si="2"/>
        <v>-100</v>
      </c>
      <c r="F79" s="103"/>
      <c r="G79" s="100">
        <f t="shared" si="3"/>
        <v>-100</v>
      </c>
      <c r="H79" s="100">
        <v>15</v>
      </c>
    </row>
    <row r="80" spans="2:8" x14ac:dyDescent="0.25">
      <c r="B80" s="99">
        <v>49</v>
      </c>
      <c r="C80" s="99">
        <v>-4.9000000000000004</v>
      </c>
      <c r="D80" s="103"/>
      <c r="E80" s="100">
        <f t="shared" si="2"/>
        <v>-100</v>
      </c>
      <c r="F80" s="103"/>
      <c r="G80" s="100">
        <f t="shared" si="3"/>
        <v>-100</v>
      </c>
      <c r="H80" s="100">
        <v>15</v>
      </c>
    </row>
    <row r="81" spans="2:8" x14ac:dyDescent="0.25">
      <c r="B81" s="99">
        <v>48</v>
      </c>
      <c r="C81" s="99">
        <v>-5</v>
      </c>
      <c r="D81" s="103"/>
      <c r="E81" s="100">
        <f t="shared" si="2"/>
        <v>-100</v>
      </c>
      <c r="F81" s="103"/>
      <c r="G81" s="100">
        <f t="shared" si="3"/>
        <v>-100</v>
      </c>
      <c r="H81" s="100">
        <v>15</v>
      </c>
    </row>
    <row r="82" spans="2:8" x14ac:dyDescent="0.25">
      <c r="B82" s="99">
        <v>47</v>
      </c>
      <c r="C82" s="99">
        <v>-5.0999999999999996</v>
      </c>
      <c r="D82" s="103"/>
      <c r="E82" s="100">
        <f t="shared" si="2"/>
        <v>-100</v>
      </c>
      <c r="F82" s="103"/>
      <c r="G82" s="100">
        <f t="shared" si="3"/>
        <v>-100</v>
      </c>
      <c r="H82" s="100">
        <v>15</v>
      </c>
    </row>
    <row r="83" spans="2:8" x14ac:dyDescent="0.25">
      <c r="B83" s="99">
        <v>46</v>
      </c>
      <c r="C83" s="99">
        <v>-5.2</v>
      </c>
      <c r="D83" s="103"/>
      <c r="E83" s="100">
        <f t="shared" si="2"/>
        <v>-100</v>
      </c>
      <c r="F83" s="103"/>
      <c r="G83" s="100">
        <f t="shared" si="3"/>
        <v>-100</v>
      </c>
      <c r="H83" s="100">
        <v>15</v>
      </c>
    </row>
    <row r="84" spans="2:8" x14ac:dyDescent="0.25">
      <c r="B84" s="99">
        <v>45</v>
      </c>
      <c r="C84" s="99">
        <v>-5.3</v>
      </c>
      <c r="D84" s="103"/>
      <c r="E84" s="100">
        <f t="shared" si="2"/>
        <v>-100</v>
      </c>
      <c r="F84" s="103"/>
      <c r="G84" s="100">
        <f t="shared" si="3"/>
        <v>-100</v>
      </c>
      <c r="H84" s="100">
        <v>15</v>
      </c>
    </row>
    <row r="85" spans="2:8" x14ac:dyDescent="0.25">
      <c r="B85" s="99"/>
      <c r="C85" s="99"/>
      <c r="D85" s="103"/>
      <c r="E85" s="100" t="e">
        <f t="shared" si="2"/>
        <v>#DIV/0!</v>
      </c>
      <c r="F85" s="103"/>
      <c r="G85" s="100" t="e">
        <f t="shared" si="3"/>
        <v>#DIV/0!</v>
      </c>
      <c r="H85" s="100"/>
    </row>
    <row r="86" spans="2:8" x14ac:dyDescent="0.25">
      <c r="B86" s="99"/>
      <c r="C86" s="99"/>
      <c r="D86" s="103"/>
      <c r="E86" s="100" t="e">
        <f t="shared" si="2"/>
        <v>#DIV/0!</v>
      </c>
      <c r="F86" s="103"/>
      <c r="G86" s="100" t="e">
        <f t="shared" si="3"/>
        <v>#DIV/0!</v>
      </c>
      <c r="H86" s="100"/>
    </row>
    <row r="87" spans="2:8" x14ac:dyDescent="0.25">
      <c r="B87" s="99"/>
      <c r="C87" s="99"/>
      <c r="D87" s="103"/>
      <c r="E87" s="100" t="e">
        <f t="shared" si="2"/>
        <v>#DIV/0!</v>
      </c>
      <c r="F87" s="103"/>
      <c r="G87" s="100" t="e">
        <f t="shared" si="3"/>
        <v>#DIV/0!</v>
      </c>
      <c r="H87" s="100"/>
    </row>
    <row r="88" spans="2:8" x14ac:dyDescent="0.25">
      <c r="B88" s="99"/>
      <c r="C88" s="99"/>
      <c r="D88" s="103"/>
      <c r="E88" s="100" t="e">
        <f t="shared" si="2"/>
        <v>#DIV/0!</v>
      </c>
      <c r="F88" s="103"/>
      <c r="G88" s="100" t="e">
        <f t="shared" si="3"/>
        <v>#DIV/0!</v>
      </c>
      <c r="H88" s="100"/>
    </row>
    <row r="89" spans="2:8" x14ac:dyDescent="0.25">
      <c r="B89" s="99"/>
      <c r="C89" s="99"/>
      <c r="D89" s="103"/>
      <c r="E89" s="100" t="e">
        <f t="shared" si="2"/>
        <v>#DIV/0!</v>
      </c>
      <c r="F89" s="103"/>
      <c r="G89" s="100" t="e">
        <f t="shared" si="3"/>
        <v>#DIV/0!</v>
      </c>
      <c r="H89" s="100"/>
    </row>
    <row r="90" spans="2:8" x14ac:dyDescent="0.25">
      <c r="B90" s="99"/>
      <c r="C90" s="99"/>
      <c r="D90" s="103"/>
      <c r="E90" s="100" t="e">
        <f t="shared" si="2"/>
        <v>#DIV/0!</v>
      </c>
      <c r="F90" s="103"/>
      <c r="G90" s="100" t="e">
        <f t="shared" si="3"/>
        <v>#DIV/0!</v>
      </c>
      <c r="H90" s="100"/>
    </row>
    <row r="91" spans="2:8" x14ac:dyDescent="0.25">
      <c r="B91" s="99"/>
      <c r="C91" s="99"/>
      <c r="D91" s="103"/>
      <c r="E91" s="100" t="e">
        <f t="shared" si="2"/>
        <v>#DIV/0!</v>
      </c>
      <c r="F91" s="103"/>
      <c r="G91" s="100" t="e">
        <f t="shared" si="3"/>
        <v>#DIV/0!</v>
      </c>
      <c r="H91" s="100"/>
    </row>
    <row r="92" spans="2:8" x14ac:dyDescent="0.25">
      <c r="B92" s="99"/>
      <c r="C92" s="99"/>
      <c r="D92" s="103"/>
      <c r="E92" s="100" t="e">
        <f t="shared" si="2"/>
        <v>#DIV/0!</v>
      </c>
      <c r="F92" s="103"/>
      <c r="G92" s="100" t="e">
        <f t="shared" si="3"/>
        <v>#DIV/0!</v>
      </c>
      <c r="H92" s="100"/>
    </row>
    <row r="93" spans="2:8" x14ac:dyDescent="0.25">
      <c r="B93" s="99"/>
      <c r="C93" s="99"/>
      <c r="D93" s="103"/>
      <c r="E93" s="100" t="e">
        <f t="shared" si="2"/>
        <v>#DIV/0!</v>
      </c>
      <c r="F93" s="103"/>
      <c r="G93" s="100" t="e">
        <f t="shared" si="3"/>
        <v>#DIV/0!</v>
      </c>
      <c r="H93" s="100"/>
    </row>
    <row r="94" spans="2:8" x14ac:dyDescent="0.25">
      <c r="B94" s="99"/>
      <c r="C94" s="99"/>
      <c r="D94" s="103"/>
      <c r="E94" s="100" t="e">
        <f t="shared" si="2"/>
        <v>#DIV/0!</v>
      </c>
      <c r="F94" s="103"/>
      <c r="G94" s="100" t="e">
        <f t="shared" si="3"/>
        <v>#DIV/0!</v>
      </c>
      <c r="H94" s="100"/>
    </row>
    <row r="95" spans="2:8" x14ac:dyDescent="0.25">
      <c r="B95" s="99"/>
      <c r="C95" s="99"/>
      <c r="D95" s="103"/>
      <c r="E95" s="100" t="e">
        <f t="shared" si="2"/>
        <v>#DIV/0!</v>
      </c>
      <c r="F95" s="103"/>
      <c r="G95" s="100" t="e">
        <f t="shared" si="3"/>
        <v>#DIV/0!</v>
      </c>
      <c r="H95" s="100"/>
    </row>
    <row r="96" spans="2:8" x14ac:dyDescent="0.25">
      <c r="B96" s="99"/>
      <c r="C96" s="99"/>
      <c r="D96" s="103"/>
      <c r="E96" s="100" t="e">
        <f t="shared" si="2"/>
        <v>#DIV/0!</v>
      </c>
      <c r="F96" s="103"/>
      <c r="G96" s="100" t="e">
        <f t="shared" si="3"/>
        <v>#DIV/0!</v>
      </c>
      <c r="H96" s="100"/>
    </row>
    <row r="97" spans="2:8" x14ac:dyDescent="0.25">
      <c r="B97" s="99"/>
      <c r="C97" s="99"/>
      <c r="D97" s="103"/>
      <c r="E97" s="100" t="e">
        <f t="shared" si="2"/>
        <v>#DIV/0!</v>
      </c>
      <c r="F97" s="103"/>
      <c r="G97" s="100" t="e">
        <f t="shared" si="3"/>
        <v>#DIV/0!</v>
      </c>
      <c r="H97" s="100"/>
    </row>
    <row r="98" spans="2:8" x14ac:dyDescent="0.25">
      <c r="B98" s="99"/>
      <c r="C98" s="99"/>
      <c r="D98" s="103"/>
      <c r="E98" s="100" t="e">
        <f t="shared" si="2"/>
        <v>#DIV/0!</v>
      </c>
      <c r="F98" s="103"/>
      <c r="G98" s="100" t="e">
        <f t="shared" si="3"/>
        <v>#DIV/0!</v>
      </c>
      <c r="H98" s="100"/>
    </row>
    <row r="99" spans="2:8" x14ac:dyDescent="0.25">
      <c r="B99" s="99"/>
      <c r="C99" s="99"/>
      <c r="D99" s="103"/>
      <c r="E99" s="100" t="e">
        <f t="shared" si="2"/>
        <v>#DIV/0!</v>
      </c>
      <c r="F99" s="103"/>
      <c r="G99" s="100" t="e">
        <f t="shared" si="3"/>
        <v>#DIV/0!</v>
      </c>
      <c r="H99" s="100"/>
    </row>
    <row r="100" spans="2:8" x14ac:dyDescent="0.25">
      <c r="B100" s="99"/>
      <c r="C100" s="99"/>
      <c r="D100" s="103"/>
      <c r="E100" s="100" t="e">
        <f t="shared" si="2"/>
        <v>#DIV/0!</v>
      </c>
      <c r="F100" s="103"/>
      <c r="G100" s="100" t="e">
        <f t="shared" si="3"/>
        <v>#DIV/0!</v>
      </c>
      <c r="H100" s="100"/>
    </row>
    <row r="101" spans="2:8" x14ac:dyDescent="0.25">
      <c r="B101" s="99"/>
      <c r="C101" s="99"/>
      <c r="D101" s="103"/>
      <c r="E101" s="100" t="e">
        <f t="shared" si="2"/>
        <v>#DIV/0!</v>
      </c>
      <c r="F101" s="103"/>
      <c r="G101" s="100" t="e">
        <f t="shared" si="3"/>
        <v>#DIV/0!</v>
      </c>
      <c r="H101" s="100"/>
    </row>
    <row r="102" spans="2:8" x14ac:dyDescent="0.25">
      <c r="B102" s="99"/>
      <c r="C102" s="99"/>
      <c r="D102" s="103"/>
      <c r="E102" s="100" t="e">
        <f t="shared" si="2"/>
        <v>#DIV/0!</v>
      </c>
      <c r="F102" s="103"/>
      <c r="G102" s="100" t="e">
        <f t="shared" si="3"/>
        <v>#DIV/0!</v>
      </c>
      <c r="H102" s="100"/>
    </row>
    <row r="103" spans="2:8" x14ac:dyDescent="0.25">
      <c r="B103" s="99"/>
      <c r="C103" s="99"/>
      <c r="D103" s="103"/>
      <c r="E103" s="100" t="e">
        <f t="shared" si="2"/>
        <v>#DIV/0!</v>
      </c>
      <c r="F103" s="103"/>
      <c r="G103" s="100" t="e">
        <f t="shared" si="3"/>
        <v>#DIV/0!</v>
      </c>
      <c r="H103" s="100"/>
    </row>
    <row r="104" spans="2:8" x14ac:dyDescent="0.25">
      <c r="B104" s="99"/>
      <c r="C104" s="99"/>
      <c r="D104" s="103"/>
      <c r="E104" s="100" t="e">
        <f t="shared" si="2"/>
        <v>#DIV/0!</v>
      </c>
      <c r="F104" s="103"/>
      <c r="G104" s="100" t="e">
        <f t="shared" si="3"/>
        <v>#DIV/0!</v>
      </c>
      <c r="H104" s="100"/>
    </row>
    <row r="105" spans="2:8" x14ac:dyDescent="0.25">
      <c r="B105" s="99"/>
      <c r="C105" s="99"/>
      <c r="D105" s="103"/>
      <c r="E105" s="100" t="e">
        <f t="shared" si="2"/>
        <v>#DIV/0!</v>
      </c>
      <c r="F105" s="103"/>
      <c r="G105" s="100" t="e">
        <f t="shared" si="3"/>
        <v>#DIV/0!</v>
      </c>
      <c r="H105" s="100"/>
    </row>
    <row r="106" spans="2:8" x14ac:dyDescent="0.25">
      <c r="B106" s="99"/>
      <c r="C106" s="99"/>
      <c r="D106" s="103"/>
      <c r="E106" s="100" t="e">
        <f t="shared" si="2"/>
        <v>#DIV/0!</v>
      </c>
      <c r="F106" s="103"/>
      <c r="G106" s="100" t="e">
        <f t="shared" si="3"/>
        <v>#DIV/0!</v>
      </c>
      <c r="H106" s="100"/>
    </row>
    <row r="107" spans="2:8" x14ac:dyDescent="0.25">
      <c r="B107" s="99"/>
      <c r="C107" s="99"/>
      <c r="D107" s="103"/>
      <c r="E107" s="100" t="e">
        <f t="shared" si="2"/>
        <v>#DIV/0!</v>
      </c>
      <c r="F107" s="103"/>
      <c r="G107" s="100" t="e">
        <f t="shared" si="3"/>
        <v>#DIV/0!</v>
      </c>
      <c r="H107" s="100"/>
    </row>
    <row r="108" spans="2:8" x14ac:dyDescent="0.25">
      <c r="B108" s="99"/>
      <c r="C108" s="99"/>
      <c r="D108" s="103"/>
      <c r="E108" s="100" t="e">
        <f t="shared" si="2"/>
        <v>#DIV/0!</v>
      </c>
      <c r="F108" s="103"/>
      <c r="G108" s="100" t="e">
        <f t="shared" si="3"/>
        <v>#DIV/0!</v>
      </c>
      <c r="H108" s="100"/>
    </row>
    <row r="109" spans="2:8" x14ac:dyDescent="0.25">
      <c r="B109" s="99"/>
      <c r="C109" s="99"/>
      <c r="D109" s="103"/>
      <c r="E109" s="100" t="e">
        <f t="shared" si="2"/>
        <v>#DIV/0!</v>
      </c>
      <c r="F109" s="103"/>
      <c r="G109" s="100" t="e">
        <f t="shared" si="3"/>
        <v>#DIV/0!</v>
      </c>
      <c r="H109" s="100"/>
    </row>
    <row r="110" spans="2:8" x14ac:dyDescent="0.25">
      <c r="B110" s="99"/>
      <c r="C110" s="99"/>
      <c r="D110" s="103"/>
      <c r="E110" s="100" t="e">
        <f t="shared" si="2"/>
        <v>#DIV/0!</v>
      </c>
      <c r="F110" s="103"/>
      <c r="G110" s="100" t="e">
        <f t="shared" si="3"/>
        <v>#DIV/0!</v>
      </c>
      <c r="H110" s="100"/>
    </row>
    <row r="111" spans="2:8" x14ac:dyDescent="0.25">
      <c r="B111" s="99"/>
      <c r="C111" s="99"/>
      <c r="D111" s="103"/>
      <c r="E111" s="100" t="e">
        <f t="shared" si="2"/>
        <v>#DIV/0!</v>
      </c>
      <c r="F111" s="103"/>
      <c r="G111" s="100" t="e">
        <f t="shared" si="3"/>
        <v>#DIV/0!</v>
      </c>
      <c r="H111" s="100"/>
    </row>
    <row r="112" spans="2:8" x14ac:dyDescent="0.25">
      <c r="B112" s="99"/>
      <c r="C112" s="99"/>
      <c r="D112" s="103"/>
      <c r="E112" s="100" t="e">
        <f t="shared" si="2"/>
        <v>#DIV/0!</v>
      </c>
      <c r="F112" s="103"/>
      <c r="G112" s="100" t="e">
        <f t="shared" si="3"/>
        <v>#DIV/0!</v>
      </c>
      <c r="H112" s="100"/>
    </row>
    <row r="113" spans="2:8" x14ac:dyDescent="0.25">
      <c r="B113" s="99"/>
      <c r="C113" s="99"/>
      <c r="D113" s="103"/>
      <c r="E113" s="100" t="e">
        <f t="shared" si="2"/>
        <v>#DIV/0!</v>
      </c>
      <c r="F113" s="103"/>
      <c r="G113" s="100" t="e">
        <f t="shared" si="3"/>
        <v>#DIV/0!</v>
      </c>
      <c r="H113" s="100"/>
    </row>
    <row r="114" spans="2:8" x14ac:dyDescent="0.25">
      <c r="B114" s="99"/>
      <c r="C114" s="99"/>
      <c r="D114" s="103"/>
      <c r="E114" s="100" t="e">
        <f t="shared" si="2"/>
        <v>#DIV/0!</v>
      </c>
      <c r="F114" s="103"/>
      <c r="G114" s="100" t="e">
        <f t="shared" si="3"/>
        <v>#DIV/0!</v>
      </c>
      <c r="H114" s="100"/>
    </row>
    <row r="115" spans="2:8" x14ac:dyDescent="0.25">
      <c r="B115" s="99"/>
      <c r="C115" s="99"/>
      <c r="D115" s="103"/>
      <c r="E115" s="100" t="e">
        <f t="shared" si="2"/>
        <v>#DIV/0!</v>
      </c>
      <c r="F115" s="103"/>
      <c r="G115" s="100" t="e">
        <f t="shared" si="3"/>
        <v>#DIV/0!</v>
      </c>
      <c r="H115" s="100"/>
    </row>
    <row r="116" spans="2:8" x14ac:dyDescent="0.25">
      <c r="B116" s="99"/>
      <c r="C116" s="99"/>
      <c r="D116" s="103"/>
      <c r="E116" s="100" t="e">
        <f t="shared" si="2"/>
        <v>#DIV/0!</v>
      </c>
      <c r="F116" s="103"/>
      <c r="G116" s="100" t="e">
        <f t="shared" si="3"/>
        <v>#DIV/0!</v>
      </c>
      <c r="H116" s="100"/>
    </row>
    <row r="117" spans="2:8" x14ac:dyDescent="0.25">
      <c r="B117" s="99"/>
      <c r="C117" s="99"/>
      <c r="D117" s="103"/>
      <c r="E117" s="100" t="e">
        <f t="shared" si="2"/>
        <v>#DIV/0!</v>
      </c>
      <c r="F117" s="103"/>
      <c r="G117" s="100" t="e">
        <f t="shared" si="3"/>
        <v>#DIV/0!</v>
      </c>
      <c r="H117" s="100"/>
    </row>
    <row r="118" spans="2:8" x14ac:dyDescent="0.25">
      <c r="B118" s="99"/>
      <c r="C118" s="99"/>
      <c r="D118" s="103"/>
      <c r="E118" s="100" t="e">
        <f t="shared" si="2"/>
        <v>#DIV/0!</v>
      </c>
      <c r="F118" s="103"/>
      <c r="G118" s="100" t="e">
        <f t="shared" si="3"/>
        <v>#DIV/0!</v>
      </c>
      <c r="H118" s="100"/>
    </row>
    <row r="119" spans="2:8" x14ac:dyDescent="0.25">
      <c r="B119" s="99"/>
      <c r="C119" s="99"/>
      <c r="D119" s="103"/>
      <c r="E119" s="100" t="e">
        <f t="shared" si="2"/>
        <v>#DIV/0!</v>
      </c>
      <c r="F119" s="103"/>
      <c r="G119" s="100" t="e">
        <f t="shared" si="3"/>
        <v>#DIV/0!</v>
      </c>
      <c r="H119" s="100"/>
    </row>
    <row r="120" spans="2:8" x14ac:dyDescent="0.25">
      <c r="B120" s="99"/>
      <c r="C120" s="99"/>
      <c r="D120" s="103"/>
      <c r="E120" s="100" t="e">
        <f t="shared" si="2"/>
        <v>#DIV/0!</v>
      </c>
      <c r="F120" s="103"/>
      <c r="G120" s="100" t="e">
        <f t="shared" si="3"/>
        <v>#DIV/0!</v>
      </c>
      <c r="H120" s="100"/>
    </row>
    <row r="121" spans="2:8" x14ac:dyDescent="0.25">
      <c r="B121" s="99"/>
      <c r="C121" s="99"/>
      <c r="D121" s="103"/>
      <c r="E121" s="100" t="e">
        <f t="shared" si="2"/>
        <v>#DIV/0!</v>
      </c>
      <c r="F121" s="103"/>
      <c r="G121" s="100" t="e">
        <f t="shared" si="3"/>
        <v>#DIV/0!</v>
      </c>
      <c r="H121" s="100"/>
    </row>
    <row r="122" spans="2:8" x14ac:dyDescent="0.25">
      <c r="B122" s="99"/>
      <c r="C122" s="99"/>
      <c r="D122" s="103"/>
      <c r="E122" s="100" t="e">
        <f t="shared" si="2"/>
        <v>#DIV/0!</v>
      </c>
      <c r="F122" s="103"/>
      <c r="G122" s="100" t="e">
        <f t="shared" si="3"/>
        <v>#DIV/0!</v>
      </c>
      <c r="H122" s="100"/>
    </row>
    <row r="123" spans="2:8" x14ac:dyDescent="0.25">
      <c r="B123" s="99"/>
      <c r="C123" s="99"/>
      <c r="D123" s="103"/>
      <c r="E123" s="100" t="e">
        <f t="shared" si="2"/>
        <v>#DIV/0!</v>
      </c>
      <c r="F123" s="103"/>
      <c r="G123" s="100" t="e">
        <f t="shared" si="3"/>
        <v>#DIV/0!</v>
      </c>
      <c r="H123" s="100"/>
    </row>
    <row r="124" spans="2:8" x14ac:dyDescent="0.25">
      <c r="B124" s="99"/>
      <c r="C124" s="99"/>
      <c r="D124" s="103"/>
      <c r="E124" s="100" t="e">
        <f t="shared" si="2"/>
        <v>#DIV/0!</v>
      </c>
      <c r="F124" s="103"/>
      <c r="G124" s="100" t="e">
        <f t="shared" si="3"/>
        <v>#DIV/0!</v>
      </c>
      <c r="H124" s="100"/>
    </row>
    <row r="125" spans="2:8" x14ac:dyDescent="0.25">
      <c r="B125" s="99"/>
      <c r="C125" s="99"/>
      <c r="D125" s="103"/>
      <c r="E125" s="100" t="e">
        <f t="shared" si="2"/>
        <v>#DIV/0!</v>
      </c>
      <c r="F125" s="103"/>
      <c r="G125" s="100" t="e">
        <f t="shared" si="3"/>
        <v>#DIV/0!</v>
      </c>
      <c r="H125" s="100"/>
    </row>
    <row r="126" spans="2:8" x14ac:dyDescent="0.25">
      <c r="B126" s="99"/>
      <c r="C126" s="99"/>
      <c r="D126" s="103"/>
      <c r="E126" s="100" t="e">
        <f t="shared" si="2"/>
        <v>#DIV/0!</v>
      </c>
      <c r="F126" s="103"/>
      <c r="G126" s="100" t="e">
        <f t="shared" si="3"/>
        <v>#DIV/0!</v>
      </c>
      <c r="H126" s="100"/>
    </row>
    <row r="127" spans="2:8" x14ac:dyDescent="0.25">
      <c r="B127" s="99"/>
      <c r="C127" s="99"/>
      <c r="D127" s="103"/>
      <c r="E127" s="100" t="e">
        <f t="shared" si="2"/>
        <v>#DIV/0!</v>
      </c>
      <c r="F127" s="103"/>
      <c r="G127" s="100" t="e">
        <f t="shared" si="3"/>
        <v>#DIV/0!</v>
      </c>
      <c r="H127" s="100"/>
    </row>
    <row r="128" spans="2:8" x14ac:dyDescent="0.25">
      <c r="B128" s="99"/>
      <c r="C128" s="99"/>
      <c r="D128" s="103"/>
      <c r="E128" s="100" t="e">
        <f t="shared" si="2"/>
        <v>#DIV/0!</v>
      </c>
      <c r="F128" s="103"/>
      <c r="G128" s="100" t="e">
        <f t="shared" si="3"/>
        <v>#DIV/0!</v>
      </c>
      <c r="H128" s="100"/>
    </row>
    <row r="129" spans="2:8" x14ac:dyDescent="0.25">
      <c r="B129" s="99"/>
      <c r="C129" s="99"/>
      <c r="D129" s="103"/>
      <c r="E129" s="100" t="e">
        <f t="shared" si="2"/>
        <v>#DIV/0!</v>
      </c>
      <c r="F129" s="103"/>
      <c r="G129" s="100" t="e">
        <f t="shared" si="3"/>
        <v>#DIV/0!</v>
      </c>
      <c r="H129" s="100"/>
    </row>
    <row r="130" spans="2:8" x14ac:dyDescent="0.25">
      <c r="B130" s="99"/>
      <c r="C130" s="99"/>
      <c r="D130" s="103"/>
      <c r="E130" s="100" t="e">
        <f t="shared" si="2"/>
        <v>#DIV/0!</v>
      </c>
      <c r="F130" s="103"/>
      <c r="G130" s="100" t="e">
        <f t="shared" si="3"/>
        <v>#DIV/0!</v>
      </c>
      <c r="H130" s="100"/>
    </row>
    <row r="131" spans="2:8" x14ac:dyDescent="0.25">
      <c r="B131" s="99"/>
      <c r="C131" s="99"/>
      <c r="D131" s="103"/>
      <c r="E131" s="100" t="e">
        <f t="shared" si="2"/>
        <v>#DIV/0!</v>
      </c>
      <c r="F131" s="103"/>
      <c r="G131" s="100" t="e">
        <f t="shared" si="3"/>
        <v>#DIV/0!</v>
      </c>
      <c r="H131" s="100"/>
    </row>
    <row r="132" spans="2:8" x14ac:dyDescent="0.25">
      <c r="B132" s="99"/>
      <c r="C132" s="99"/>
      <c r="D132" s="103"/>
      <c r="E132" s="100" t="e">
        <f t="shared" si="2"/>
        <v>#DIV/0!</v>
      </c>
      <c r="F132" s="103"/>
      <c r="G132" s="100" t="e">
        <f t="shared" si="3"/>
        <v>#DIV/0!</v>
      </c>
      <c r="H132" s="100"/>
    </row>
    <row r="133" spans="2:8" x14ac:dyDescent="0.25">
      <c r="B133" s="99"/>
      <c r="C133" s="99"/>
      <c r="D133" s="103"/>
      <c r="E133" s="100" t="e">
        <f t="shared" si="2"/>
        <v>#DIV/0!</v>
      </c>
      <c r="F133" s="103"/>
      <c r="G133" s="100" t="e">
        <f t="shared" si="3"/>
        <v>#DIV/0!</v>
      </c>
      <c r="H133" s="100"/>
    </row>
    <row r="134" spans="2:8" x14ac:dyDescent="0.25">
      <c r="B134" s="99"/>
      <c r="C134" s="99"/>
      <c r="D134" s="103"/>
      <c r="E134" s="100" t="e">
        <f t="shared" si="2"/>
        <v>#DIV/0!</v>
      </c>
      <c r="F134" s="103"/>
      <c r="G134" s="100" t="e">
        <f t="shared" si="3"/>
        <v>#DIV/0!</v>
      </c>
      <c r="H134" s="100"/>
    </row>
    <row r="135" spans="2:8" x14ac:dyDescent="0.25">
      <c r="B135" s="99"/>
      <c r="C135" s="99"/>
      <c r="D135" s="103"/>
      <c r="E135" s="100" t="e">
        <f t="shared" si="2"/>
        <v>#DIV/0!</v>
      </c>
      <c r="F135" s="103"/>
      <c r="G135" s="100" t="e">
        <f t="shared" si="3"/>
        <v>#DIV/0!</v>
      </c>
      <c r="H135" s="100"/>
    </row>
    <row r="136" spans="2:8" x14ac:dyDescent="0.25">
      <c r="B136" s="99"/>
      <c r="C136" s="99"/>
      <c r="D136" s="103"/>
      <c r="E136" s="100" t="e">
        <f t="shared" si="2"/>
        <v>#DIV/0!</v>
      </c>
      <c r="F136" s="103"/>
      <c r="G136" s="100" t="e">
        <f t="shared" si="3"/>
        <v>#DIV/0!</v>
      </c>
      <c r="H136" s="100"/>
    </row>
    <row r="137" spans="2:8" x14ac:dyDescent="0.25">
      <c r="B137" s="99"/>
      <c r="C137" s="99"/>
      <c r="D137" s="103"/>
      <c r="E137" s="100" t="e">
        <f t="shared" si="2"/>
        <v>#DIV/0!</v>
      </c>
      <c r="F137" s="103"/>
      <c r="G137" s="100" t="e">
        <f t="shared" si="3"/>
        <v>#DIV/0!</v>
      </c>
      <c r="H137" s="100"/>
    </row>
    <row r="138" spans="2:8" x14ac:dyDescent="0.25">
      <c r="B138" s="99"/>
      <c r="C138" s="99"/>
      <c r="D138" s="103"/>
      <c r="E138" s="100" t="e">
        <f t="shared" si="2"/>
        <v>#DIV/0!</v>
      </c>
      <c r="F138" s="103"/>
      <c r="G138" s="100" t="e">
        <f t="shared" si="3"/>
        <v>#DIV/0!</v>
      </c>
      <c r="H138" s="100"/>
    </row>
    <row r="139" spans="2:8" x14ac:dyDescent="0.25">
      <c r="B139" s="99"/>
      <c r="C139" s="99"/>
      <c r="D139" s="103"/>
      <c r="E139" s="100" t="e">
        <f t="shared" ref="E139:E202" si="4">100*(D139-C139)/C139</f>
        <v>#DIV/0!</v>
      </c>
      <c r="F139" s="103"/>
      <c r="G139" s="100" t="e">
        <f t="shared" ref="G139:G202" si="5">100*(F139-C139)/C139</f>
        <v>#DIV/0!</v>
      </c>
      <c r="H139" s="100"/>
    </row>
    <row r="140" spans="2:8" x14ac:dyDescent="0.25">
      <c r="B140" s="99"/>
      <c r="C140" s="99"/>
      <c r="D140" s="103"/>
      <c r="E140" s="100" t="e">
        <f t="shared" si="4"/>
        <v>#DIV/0!</v>
      </c>
      <c r="F140" s="103"/>
      <c r="G140" s="100" t="e">
        <f t="shared" si="5"/>
        <v>#DIV/0!</v>
      </c>
      <c r="H140" s="100"/>
    </row>
    <row r="141" spans="2:8" x14ac:dyDescent="0.25">
      <c r="B141" s="99"/>
      <c r="C141" s="99"/>
      <c r="D141" s="103"/>
      <c r="E141" s="100" t="e">
        <f t="shared" si="4"/>
        <v>#DIV/0!</v>
      </c>
      <c r="F141" s="103"/>
      <c r="G141" s="100" t="e">
        <f t="shared" si="5"/>
        <v>#DIV/0!</v>
      </c>
      <c r="H141" s="100"/>
    </row>
    <row r="142" spans="2:8" x14ac:dyDescent="0.25">
      <c r="B142" s="99"/>
      <c r="C142" s="99"/>
      <c r="D142" s="103"/>
      <c r="E142" s="100" t="e">
        <f t="shared" si="4"/>
        <v>#DIV/0!</v>
      </c>
      <c r="F142" s="103"/>
      <c r="G142" s="100" t="e">
        <f t="shared" si="5"/>
        <v>#DIV/0!</v>
      </c>
      <c r="H142" s="100"/>
    </row>
    <row r="143" spans="2:8" x14ac:dyDescent="0.25">
      <c r="B143" s="99"/>
      <c r="C143" s="99"/>
      <c r="D143" s="103"/>
      <c r="E143" s="100" t="e">
        <f t="shared" si="4"/>
        <v>#DIV/0!</v>
      </c>
      <c r="F143" s="103"/>
      <c r="G143" s="100" t="e">
        <f t="shared" si="5"/>
        <v>#DIV/0!</v>
      </c>
      <c r="H143" s="100"/>
    </row>
    <row r="144" spans="2:8" x14ac:dyDescent="0.25">
      <c r="B144" s="99"/>
      <c r="C144" s="99"/>
      <c r="D144" s="103"/>
      <c r="E144" s="100" t="e">
        <f t="shared" si="4"/>
        <v>#DIV/0!</v>
      </c>
      <c r="F144" s="103"/>
      <c r="G144" s="100" t="e">
        <f t="shared" si="5"/>
        <v>#DIV/0!</v>
      </c>
      <c r="H144" s="100"/>
    </row>
    <row r="145" spans="2:8" x14ac:dyDescent="0.25">
      <c r="B145" s="99"/>
      <c r="C145" s="99"/>
      <c r="D145" s="103"/>
      <c r="E145" s="100" t="e">
        <f t="shared" si="4"/>
        <v>#DIV/0!</v>
      </c>
      <c r="F145" s="103"/>
      <c r="G145" s="100" t="e">
        <f t="shared" si="5"/>
        <v>#DIV/0!</v>
      </c>
      <c r="H145" s="100"/>
    </row>
    <row r="146" spans="2:8" x14ac:dyDescent="0.25">
      <c r="B146" s="99"/>
      <c r="C146" s="99"/>
      <c r="D146" s="103"/>
      <c r="E146" s="100" t="e">
        <f t="shared" si="4"/>
        <v>#DIV/0!</v>
      </c>
      <c r="F146" s="103"/>
      <c r="G146" s="100" t="e">
        <f t="shared" si="5"/>
        <v>#DIV/0!</v>
      </c>
      <c r="H146" s="100"/>
    </row>
    <row r="147" spans="2:8" x14ac:dyDescent="0.25">
      <c r="B147" s="99"/>
      <c r="C147" s="99"/>
      <c r="D147" s="103"/>
      <c r="E147" s="100" t="e">
        <f t="shared" si="4"/>
        <v>#DIV/0!</v>
      </c>
      <c r="F147" s="103"/>
      <c r="G147" s="100" t="e">
        <f t="shared" si="5"/>
        <v>#DIV/0!</v>
      </c>
      <c r="H147" s="100"/>
    </row>
    <row r="148" spans="2:8" x14ac:dyDescent="0.25">
      <c r="B148" s="99"/>
      <c r="C148" s="99"/>
      <c r="D148" s="103"/>
      <c r="E148" s="100" t="e">
        <f t="shared" si="4"/>
        <v>#DIV/0!</v>
      </c>
      <c r="F148" s="103"/>
      <c r="G148" s="100" t="e">
        <f t="shared" si="5"/>
        <v>#DIV/0!</v>
      </c>
      <c r="H148" s="100"/>
    </row>
    <row r="149" spans="2:8" x14ac:dyDescent="0.25">
      <c r="B149" s="99"/>
      <c r="C149" s="99"/>
      <c r="D149" s="103"/>
      <c r="E149" s="100" t="e">
        <f t="shared" si="4"/>
        <v>#DIV/0!</v>
      </c>
      <c r="F149" s="103"/>
      <c r="G149" s="100" t="e">
        <f t="shared" si="5"/>
        <v>#DIV/0!</v>
      </c>
      <c r="H149" s="100"/>
    </row>
    <row r="150" spans="2:8" x14ac:dyDescent="0.25">
      <c r="B150" s="99"/>
      <c r="C150" s="99"/>
      <c r="D150" s="103"/>
      <c r="E150" s="100" t="e">
        <f t="shared" si="4"/>
        <v>#DIV/0!</v>
      </c>
      <c r="F150" s="103"/>
      <c r="G150" s="100" t="e">
        <f t="shared" si="5"/>
        <v>#DIV/0!</v>
      </c>
      <c r="H150" s="100"/>
    </row>
    <row r="151" spans="2:8" x14ac:dyDescent="0.25">
      <c r="B151" s="99"/>
      <c r="C151" s="99"/>
      <c r="D151" s="103"/>
      <c r="E151" s="100" t="e">
        <f t="shared" si="4"/>
        <v>#DIV/0!</v>
      </c>
      <c r="F151" s="103"/>
      <c r="G151" s="100" t="e">
        <f t="shared" si="5"/>
        <v>#DIV/0!</v>
      </c>
      <c r="H151" s="100"/>
    </row>
    <row r="152" spans="2:8" x14ac:dyDescent="0.25">
      <c r="B152" s="99"/>
      <c r="C152" s="99"/>
      <c r="D152" s="103"/>
      <c r="E152" s="100" t="e">
        <f t="shared" si="4"/>
        <v>#DIV/0!</v>
      </c>
      <c r="F152" s="103"/>
      <c r="G152" s="100" t="e">
        <f t="shared" si="5"/>
        <v>#DIV/0!</v>
      </c>
      <c r="H152" s="100"/>
    </row>
    <row r="153" spans="2:8" x14ac:dyDescent="0.25">
      <c r="B153" s="99"/>
      <c r="C153" s="99"/>
      <c r="D153" s="103"/>
      <c r="E153" s="100" t="e">
        <f t="shared" si="4"/>
        <v>#DIV/0!</v>
      </c>
      <c r="F153" s="103"/>
      <c r="G153" s="100" t="e">
        <f t="shared" si="5"/>
        <v>#DIV/0!</v>
      </c>
      <c r="H153" s="100"/>
    </row>
    <row r="154" spans="2:8" x14ac:dyDescent="0.25">
      <c r="B154" s="99"/>
      <c r="C154" s="99"/>
      <c r="D154" s="103"/>
      <c r="E154" s="100" t="e">
        <f t="shared" si="4"/>
        <v>#DIV/0!</v>
      </c>
      <c r="F154" s="103"/>
      <c r="G154" s="100" t="e">
        <f t="shared" si="5"/>
        <v>#DIV/0!</v>
      </c>
      <c r="H154" s="100"/>
    </row>
    <row r="155" spans="2:8" x14ac:dyDescent="0.25">
      <c r="B155" s="99"/>
      <c r="C155" s="99"/>
      <c r="D155" s="103"/>
      <c r="E155" s="100" t="e">
        <f t="shared" si="4"/>
        <v>#DIV/0!</v>
      </c>
      <c r="F155" s="103"/>
      <c r="G155" s="100" t="e">
        <f t="shared" si="5"/>
        <v>#DIV/0!</v>
      </c>
      <c r="H155" s="100"/>
    </row>
    <row r="156" spans="2:8" x14ac:dyDescent="0.25">
      <c r="B156" s="99"/>
      <c r="C156" s="99"/>
      <c r="D156" s="103"/>
      <c r="E156" s="100" t="e">
        <f t="shared" si="4"/>
        <v>#DIV/0!</v>
      </c>
      <c r="F156" s="103"/>
      <c r="G156" s="100" t="e">
        <f t="shared" si="5"/>
        <v>#DIV/0!</v>
      </c>
      <c r="H156" s="100"/>
    </row>
    <row r="157" spans="2:8" x14ac:dyDescent="0.25">
      <c r="B157" s="99"/>
      <c r="C157" s="99"/>
      <c r="D157" s="103"/>
      <c r="E157" s="100" t="e">
        <f t="shared" si="4"/>
        <v>#DIV/0!</v>
      </c>
      <c r="F157" s="103"/>
      <c r="G157" s="100" t="e">
        <f t="shared" si="5"/>
        <v>#DIV/0!</v>
      </c>
      <c r="H157" s="100"/>
    </row>
    <row r="158" spans="2:8" x14ac:dyDescent="0.25">
      <c r="B158" s="99"/>
      <c r="C158" s="99"/>
      <c r="D158" s="103"/>
      <c r="E158" s="100" t="e">
        <f t="shared" si="4"/>
        <v>#DIV/0!</v>
      </c>
      <c r="F158" s="103"/>
      <c r="G158" s="100" t="e">
        <f t="shared" si="5"/>
        <v>#DIV/0!</v>
      </c>
      <c r="H158" s="100"/>
    </row>
    <row r="159" spans="2:8" x14ac:dyDescent="0.25">
      <c r="B159" s="99"/>
      <c r="C159" s="99"/>
      <c r="D159" s="103"/>
      <c r="E159" s="100" t="e">
        <f t="shared" si="4"/>
        <v>#DIV/0!</v>
      </c>
      <c r="F159" s="103"/>
      <c r="G159" s="100" t="e">
        <f t="shared" si="5"/>
        <v>#DIV/0!</v>
      </c>
      <c r="H159" s="100"/>
    </row>
    <row r="160" spans="2:8" x14ac:dyDescent="0.25">
      <c r="B160" s="99"/>
      <c r="C160" s="99"/>
      <c r="D160" s="103"/>
      <c r="E160" s="100" t="e">
        <f t="shared" si="4"/>
        <v>#DIV/0!</v>
      </c>
      <c r="F160" s="103"/>
      <c r="G160" s="100" t="e">
        <f t="shared" si="5"/>
        <v>#DIV/0!</v>
      </c>
      <c r="H160" s="100"/>
    </row>
    <row r="161" spans="2:8" x14ac:dyDescent="0.25">
      <c r="B161" s="99"/>
      <c r="C161" s="99"/>
      <c r="D161" s="103"/>
      <c r="E161" s="100" t="e">
        <f t="shared" si="4"/>
        <v>#DIV/0!</v>
      </c>
      <c r="F161" s="103"/>
      <c r="G161" s="100" t="e">
        <f t="shared" si="5"/>
        <v>#DIV/0!</v>
      </c>
      <c r="H161" s="100"/>
    </row>
    <row r="162" spans="2:8" x14ac:dyDescent="0.25">
      <c r="B162" s="99"/>
      <c r="C162" s="99"/>
      <c r="D162" s="103"/>
      <c r="E162" s="100" t="e">
        <f t="shared" si="4"/>
        <v>#DIV/0!</v>
      </c>
      <c r="F162" s="103"/>
      <c r="G162" s="100" t="e">
        <f t="shared" si="5"/>
        <v>#DIV/0!</v>
      </c>
      <c r="H162" s="100"/>
    </row>
    <row r="163" spans="2:8" x14ac:dyDescent="0.25">
      <c r="B163" s="99"/>
      <c r="C163" s="99"/>
      <c r="D163" s="103"/>
      <c r="E163" s="100" t="e">
        <f t="shared" si="4"/>
        <v>#DIV/0!</v>
      </c>
      <c r="F163" s="103"/>
      <c r="G163" s="100" t="e">
        <f t="shared" si="5"/>
        <v>#DIV/0!</v>
      </c>
      <c r="H163" s="100"/>
    </row>
    <row r="164" spans="2:8" x14ac:dyDescent="0.25">
      <c r="B164" s="99"/>
      <c r="C164" s="99"/>
      <c r="D164" s="103"/>
      <c r="E164" s="100" t="e">
        <f t="shared" si="4"/>
        <v>#DIV/0!</v>
      </c>
      <c r="F164" s="103"/>
      <c r="G164" s="100" t="e">
        <f t="shared" si="5"/>
        <v>#DIV/0!</v>
      </c>
      <c r="H164" s="100"/>
    </row>
    <row r="165" spans="2:8" x14ac:dyDescent="0.25">
      <c r="B165" s="99"/>
      <c r="C165" s="99"/>
      <c r="D165" s="103"/>
      <c r="E165" s="100" t="e">
        <f t="shared" si="4"/>
        <v>#DIV/0!</v>
      </c>
      <c r="F165" s="103"/>
      <c r="G165" s="100" t="e">
        <f t="shared" si="5"/>
        <v>#DIV/0!</v>
      </c>
      <c r="H165" s="100"/>
    </row>
    <row r="166" spans="2:8" x14ac:dyDescent="0.25">
      <c r="B166" s="99"/>
      <c r="C166" s="99"/>
      <c r="D166" s="103"/>
      <c r="E166" s="100" t="e">
        <f t="shared" si="4"/>
        <v>#DIV/0!</v>
      </c>
      <c r="F166" s="103"/>
      <c r="G166" s="100" t="e">
        <f t="shared" si="5"/>
        <v>#DIV/0!</v>
      </c>
      <c r="H166" s="100"/>
    </row>
    <row r="167" spans="2:8" x14ac:dyDescent="0.25">
      <c r="B167" s="99"/>
      <c r="C167" s="99"/>
      <c r="D167" s="103"/>
      <c r="E167" s="100" t="e">
        <f t="shared" si="4"/>
        <v>#DIV/0!</v>
      </c>
      <c r="F167" s="103"/>
      <c r="G167" s="100" t="e">
        <f t="shared" si="5"/>
        <v>#DIV/0!</v>
      </c>
      <c r="H167" s="100"/>
    </row>
    <row r="168" spans="2:8" x14ac:dyDescent="0.25">
      <c r="B168" s="99"/>
      <c r="C168" s="99"/>
      <c r="D168" s="103"/>
      <c r="E168" s="100" t="e">
        <f t="shared" si="4"/>
        <v>#DIV/0!</v>
      </c>
      <c r="F168" s="103"/>
      <c r="G168" s="100" t="e">
        <f t="shared" si="5"/>
        <v>#DIV/0!</v>
      </c>
      <c r="H168" s="100"/>
    </row>
    <row r="169" spans="2:8" x14ac:dyDescent="0.25">
      <c r="B169" s="99"/>
      <c r="C169" s="99"/>
      <c r="D169" s="103"/>
      <c r="E169" s="100" t="e">
        <f t="shared" si="4"/>
        <v>#DIV/0!</v>
      </c>
      <c r="F169" s="103"/>
      <c r="G169" s="100" t="e">
        <f t="shared" si="5"/>
        <v>#DIV/0!</v>
      </c>
      <c r="H169" s="100"/>
    </row>
    <row r="170" spans="2:8" x14ac:dyDescent="0.25">
      <c r="B170" s="99"/>
      <c r="C170" s="99"/>
      <c r="D170" s="103"/>
      <c r="E170" s="100" t="e">
        <f t="shared" si="4"/>
        <v>#DIV/0!</v>
      </c>
      <c r="F170" s="103"/>
      <c r="G170" s="100" t="e">
        <f t="shared" si="5"/>
        <v>#DIV/0!</v>
      </c>
      <c r="H170" s="100"/>
    </row>
    <row r="171" spans="2:8" x14ac:dyDescent="0.25">
      <c r="B171" s="99"/>
      <c r="C171" s="99"/>
      <c r="D171" s="103"/>
      <c r="E171" s="100" t="e">
        <f t="shared" si="4"/>
        <v>#DIV/0!</v>
      </c>
      <c r="F171" s="103"/>
      <c r="G171" s="100" t="e">
        <f t="shared" si="5"/>
        <v>#DIV/0!</v>
      </c>
      <c r="H171" s="100"/>
    </row>
    <row r="172" spans="2:8" x14ac:dyDescent="0.25">
      <c r="B172" s="99"/>
      <c r="C172" s="99"/>
      <c r="D172" s="103"/>
      <c r="E172" s="100" t="e">
        <f t="shared" si="4"/>
        <v>#DIV/0!</v>
      </c>
      <c r="F172" s="103"/>
      <c r="G172" s="100" t="e">
        <f t="shared" si="5"/>
        <v>#DIV/0!</v>
      </c>
      <c r="H172" s="100"/>
    </row>
    <row r="173" spans="2:8" x14ac:dyDescent="0.25">
      <c r="B173" s="99"/>
      <c r="C173" s="99"/>
      <c r="D173" s="103"/>
      <c r="E173" s="100" t="e">
        <f t="shared" si="4"/>
        <v>#DIV/0!</v>
      </c>
      <c r="F173" s="103"/>
      <c r="G173" s="100" t="e">
        <f t="shared" si="5"/>
        <v>#DIV/0!</v>
      </c>
      <c r="H173" s="100"/>
    </row>
    <row r="174" spans="2:8" x14ac:dyDescent="0.25">
      <c r="B174" s="99"/>
      <c r="C174" s="99"/>
      <c r="D174" s="103"/>
      <c r="E174" s="100" t="e">
        <f t="shared" si="4"/>
        <v>#DIV/0!</v>
      </c>
      <c r="F174" s="103"/>
      <c r="G174" s="100" t="e">
        <f t="shared" si="5"/>
        <v>#DIV/0!</v>
      </c>
      <c r="H174" s="100"/>
    </row>
    <row r="175" spans="2:8" x14ac:dyDescent="0.25">
      <c r="B175" s="99"/>
      <c r="C175" s="99"/>
      <c r="D175" s="103"/>
      <c r="E175" s="100" t="e">
        <f t="shared" si="4"/>
        <v>#DIV/0!</v>
      </c>
      <c r="F175" s="103"/>
      <c r="G175" s="100" t="e">
        <f t="shared" si="5"/>
        <v>#DIV/0!</v>
      </c>
      <c r="H175" s="100"/>
    </row>
    <row r="176" spans="2:8" x14ac:dyDescent="0.25">
      <c r="B176" s="99"/>
      <c r="C176" s="99"/>
      <c r="D176" s="103"/>
      <c r="E176" s="100" t="e">
        <f t="shared" si="4"/>
        <v>#DIV/0!</v>
      </c>
      <c r="F176" s="103"/>
      <c r="G176" s="100" t="e">
        <f t="shared" si="5"/>
        <v>#DIV/0!</v>
      </c>
      <c r="H176" s="100"/>
    </row>
    <row r="177" spans="2:8" x14ac:dyDescent="0.25">
      <c r="B177" s="99"/>
      <c r="C177" s="99"/>
      <c r="D177" s="103"/>
      <c r="E177" s="100" t="e">
        <f t="shared" si="4"/>
        <v>#DIV/0!</v>
      </c>
      <c r="F177" s="103"/>
      <c r="G177" s="100" t="e">
        <f t="shared" si="5"/>
        <v>#DIV/0!</v>
      </c>
      <c r="H177" s="100"/>
    </row>
    <row r="178" spans="2:8" x14ac:dyDescent="0.25">
      <c r="B178" s="99"/>
      <c r="C178" s="99"/>
      <c r="D178" s="103"/>
      <c r="E178" s="100" t="e">
        <f t="shared" si="4"/>
        <v>#DIV/0!</v>
      </c>
      <c r="F178" s="103"/>
      <c r="G178" s="100" t="e">
        <f t="shared" si="5"/>
        <v>#DIV/0!</v>
      </c>
      <c r="H178" s="100"/>
    </row>
    <row r="179" spans="2:8" x14ac:dyDescent="0.25">
      <c r="B179" s="99"/>
      <c r="C179" s="99"/>
      <c r="D179" s="103"/>
      <c r="E179" s="100" t="e">
        <f t="shared" si="4"/>
        <v>#DIV/0!</v>
      </c>
      <c r="F179" s="103"/>
      <c r="G179" s="100" t="e">
        <f t="shared" si="5"/>
        <v>#DIV/0!</v>
      </c>
      <c r="H179" s="100"/>
    </row>
    <row r="180" spans="2:8" x14ac:dyDescent="0.25">
      <c r="B180" s="99"/>
      <c r="C180" s="99"/>
      <c r="D180" s="103"/>
      <c r="E180" s="100" t="e">
        <f t="shared" si="4"/>
        <v>#DIV/0!</v>
      </c>
      <c r="F180" s="103"/>
      <c r="G180" s="100" t="e">
        <f t="shared" si="5"/>
        <v>#DIV/0!</v>
      </c>
      <c r="H180" s="100"/>
    </row>
    <row r="181" spans="2:8" x14ac:dyDescent="0.25">
      <c r="B181" s="99"/>
      <c r="C181" s="99"/>
      <c r="D181" s="103"/>
      <c r="E181" s="100" t="e">
        <f t="shared" si="4"/>
        <v>#DIV/0!</v>
      </c>
      <c r="F181" s="103"/>
      <c r="G181" s="100" t="e">
        <f t="shared" si="5"/>
        <v>#DIV/0!</v>
      </c>
      <c r="H181" s="100"/>
    </row>
    <row r="182" spans="2:8" x14ac:dyDescent="0.25">
      <c r="B182" s="99"/>
      <c r="C182" s="99"/>
      <c r="D182" s="103"/>
      <c r="E182" s="100" t="e">
        <f t="shared" si="4"/>
        <v>#DIV/0!</v>
      </c>
      <c r="F182" s="103"/>
      <c r="G182" s="100" t="e">
        <f t="shared" si="5"/>
        <v>#DIV/0!</v>
      </c>
      <c r="H182" s="100"/>
    </row>
    <row r="183" spans="2:8" x14ac:dyDescent="0.25">
      <c r="B183" s="99"/>
      <c r="C183" s="99"/>
      <c r="D183" s="103"/>
      <c r="E183" s="100" t="e">
        <f t="shared" si="4"/>
        <v>#DIV/0!</v>
      </c>
      <c r="F183" s="103"/>
      <c r="G183" s="100" t="e">
        <f t="shared" si="5"/>
        <v>#DIV/0!</v>
      </c>
      <c r="H183" s="100"/>
    </row>
    <row r="184" spans="2:8" x14ac:dyDescent="0.25">
      <c r="B184" s="99"/>
      <c r="C184" s="99"/>
      <c r="D184" s="103"/>
      <c r="E184" s="100" t="e">
        <f t="shared" si="4"/>
        <v>#DIV/0!</v>
      </c>
      <c r="F184" s="103"/>
      <c r="G184" s="100" t="e">
        <f t="shared" si="5"/>
        <v>#DIV/0!</v>
      </c>
      <c r="H184" s="100"/>
    </row>
    <row r="185" spans="2:8" x14ac:dyDescent="0.25">
      <c r="B185" s="99"/>
      <c r="C185" s="99"/>
      <c r="D185" s="103"/>
      <c r="E185" s="100" t="e">
        <f t="shared" si="4"/>
        <v>#DIV/0!</v>
      </c>
      <c r="F185" s="103"/>
      <c r="G185" s="100" t="e">
        <f t="shared" si="5"/>
        <v>#DIV/0!</v>
      </c>
      <c r="H185" s="100"/>
    </row>
    <row r="186" spans="2:8" x14ac:dyDescent="0.25">
      <c r="B186" s="99"/>
      <c r="C186" s="99"/>
      <c r="D186" s="103"/>
      <c r="E186" s="100" t="e">
        <f t="shared" si="4"/>
        <v>#DIV/0!</v>
      </c>
      <c r="F186" s="103"/>
      <c r="G186" s="100" t="e">
        <f t="shared" si="5"/>
        <v>#DIV/0!</v>
      </c>
      <c r="H186" s="100"/>
    </row>
    <row r="187" spans="2:8" x14ac:dyDescent="0.25">
      <c r="B187" s="99"/>
      <c r="C187" s="99"/>
      <c r="D187" s="103"/>
      <c r="E187" s="100" t="e">
        <f t="shared" si="4"/>
        <v>#DIV/0!</v>
      </c>
      <c r="F187" s="103"/>
      <c r="G187" s="100" t="e">
        <f t="shared" si="5"/>
        <v>#DIV/0!</v>
      </c>
      <c r="H187" s="100"/>
    </row>
    <row r="188" spans="2:8" x14ac:dyDescent="0.25">
      <c r="B188" s="99"/>
      <c r="C188" s="99"/>
      <c r="D188" s="103"/>
      <c r="E188" s="100" t="e">
        <f t="shared" si="4"/>
        <v>#DIV/0!</v>
      </c>
      <c r="F188" s="103"/>
      <c r="G188" s="100" t="e">
        <f t="shared" si="5"/>
        <v>#DIV/0!</v>
      </c>
      <c r="H188" s="100"/>
    </row>
    <row r="189" spans="2:8" x14ac:dyDescent="0.25">
      <c r="B189" s="99"/>
      <c r="C189" s="99"/>
      <c r="D189" s="103"/>
      <c r="E189" s="100" t="e">
        <f t="shared" si="4"/>
        <v>#DIV/0!</v>
      </c>
      <c r="F189" s="103"/>
      <c r="G189" s="100" t="e">
        <f t="shared" si="5"/>
        <v>#DIV/0!</v>
      </c>
      <c r="H189" s="100"/>
    </row>
    <row r="190" spans="2:8" x14ac:dyDescent="0.25">
      <c r="B190" s="99"/>
      <c r="C190" s="99"/>
      <c r="D190" s="103"/>
      <c r="E190" s="100" t="e">
        <f t="shared" si="4"/>
        <v>#DIV/0!</v>
      </c>
      <c r="F190" s="103"/>
      <c r="G190" s="100" t="e">
        <f t="shared" si="5"/>
        <v>#DIV/0!</v>
      </c>
      <c r="H190" s="100"/>
    </row>
    <row r="191" spans="2:8" x14ac:dyDescent="0.25">
      <c r="B191" s="99"/>
      <c r="C191" s="99"/>
      <c r="D191" s="103"/>
      <c r="E191" s="100" t="e">
        <f t="shared" si="4"/>
        <v>#DIV/0!</v>
      </c>
      <c r="F191" s="103"/>
      <c r="G191" s="100" t="e">
        <f t="shared" si="5"/>
        <v>#DIV/0!</v>
      </c>
      <c r="H191" s="100"/>
    </row>
    <row r="192" spans="2:8" x14ac:dyDescent="0.25">
      <c r="B192" s="99"/>
      <c r="C192" s="99"/>
      <c r="D192" s="103"/>
      <c r="E192" s="100" t="e">
        <f t="shared" si="4"/>
        <v>#DIV/0!</v>
      </c>
      <c r="F192" s="103"/>
      <c r="G192" s="100" t="e">
        <f t="shared" si="5"/>
        <v>#DIV/0!</v>
      </c>
      <c r="H192" s="100"/>
    </row>
    <row r="193" spans="2:8" x14ac:dyDescent="0.25">
      <c r="B193" s="99"/>
      <c r="C193" s="99"/>
      <c r="D193" s="103"/>
      <c r="E193" s="100" t="e">
        <f t="shared" si="4"/>
        <v>#DIV/0!</v>
      </c>
      <c r="F193" s="103"/>
      <c r="G193" s="100" t="e">
        <f t="shared" si="5"/>
        <v>#DIV/0!</v>
      </c>
      <c r="H193" s="100"/>
    </row>
    <row r="194" spans="2:8" x14ac:dyDescent="0.25">
      <c r="B194" s="99"/>
      <c r="C194" s="99"/>
      <c r="D194" s="103"/>
      <c r="E194" s="100" t="e">
        <f t="shared" si="4"/>
        <v>#DIV/0!</v>
      </c>
      <c r="F194" s="103"/>
      <c r="G194" s="100" t="e">
        <f t="shared" si="5"/>
        <v>#DIV/0!</v>
      </c>
      <c r="H194" s="100"/>
    </row>
    <row r="195" spans="2:8" x14ac:dyDescent="0.25">
      <c r="B195" s="99"/>
      <c r="C195" s="99"/>
      <c r="D195" s="103"/>
      <c r="E195" s="100" t="e">
        <f t="shared" si="4"/>
        <v>#DIV/0!</v>
      </c>
      <c r="F195" s="103"/>
      <c r="G195" s="100" t="e">
        <f t="shared" si="5"/>
        <v>#DIV/0!</v>
      </c>
      <c r="H195" s="100"/>
    </row>
    <row r="196" spans="2:8" x14ac:dyDescent="0.25">
      <c r="B196" s="99"/>
      <c r="C196" s="99"/>
      <c r="D196" s="103"/>
      <c r="E196" s="100" t="e">
        <f t="shared" si="4"/>
        <v>#DIV/0!</v>
      </c>
      <c r="F196" s="103"/>
      <c r="G196" s="100" t="e">
        <f t="shared" si="5"/>
        <v>#DIV/0!</v>
      </c>
      <c r="H196" s="100"/>
    </row>
    <row r="197" spans="2:8" x14ac:dyDescent="0.25">
      <c r="B197" s="99"/>
      <c r="C197" s="99"/>
      <c r="D197" s="103"/>
      <c r="E197" s="100" t="e">
        <f t="shared" si="4"/>
        <v>#DIV/0!</v>
      </c>
      <c r="F197" s="103"/>
      <c r="G197" s="100" t="e">
        <f t="shared" si="5"/>
        <v>#DIV/0!</v>
      </c>
      <c r="H197" s="100"/>
    </row>
    <row r="198" spans="2:8" x14ac:dyDescent="0.25">
      <c r="B198" s="99"/>
      <c r="C198" s="99"/>
      <c r="D198" s="103"/>
      <c r="E198" s="100" t="e">
        <f t="shared" si="4"/>
        <v>#DIV/0!</v>
      </c>
      <c r="F198" s="103"/>
      <c r="G198" s="100" t="e">
        <f t="shared" si="5"/>
        <v>#DIV/0!</v>
      </c>
      <c r="H198" s="100"/>
    </row>
    <row r="199" spans="2:8" x14ac:dyDescent="0.25">
      <c r="B199" s="99"/>
      <c r="C199" s="99"/>
      <c r="D199" s="103"/>
      <c r="E199" s="100" t="e">
        <f t="shared" si="4"/>
        <v>#DIV/0!</v>
      </c>
      <c r="F199" s="103"/>
      <c r="G199" s="100" t="e">
        <f t="shared" si="5"/>
        <v>#DIV/0!</v>
      </c>
      <c r="H199" s="100"/>
    </row>
    <row r="200" spans="2:8" x14ac:dyDescent="0.25">
      <c r="B200" s="99"/>
      <c r="C200" s="99"/>
      <c r="D200" s="103"/>
      <c r="E200" s="100" t="e">
        <f t="shared" si="4"/>
        <v>#DIV/0!</v>
      </c>
      <c r="F200" s="103"/>
      <c r="G200" s="100" t="e">
        <f t="shared" si="5"/>
        <v>#DIV/0!</v>
      </c>
      <c r="H200" s="100"/>
    </row>
    <row r="201" spans="2:8" x14ac:dyDescent="0.25">
      <c r="B201" s="99"/>
      <c r="C201" s="99"/>
      <c r="D201" s="103"/>
      <c r="E201" s="100" t="e">
        <f t="shared" si="4"/>
        <v>#DIV/0!</v>
      </c>
      <c r="F201" s="103"/>
      <c r="G201" s="100" t="e">
        <f t="shared" si="5"/>
        <v>#DIV/0!</v>
      </c>
      <c r="H201" s="100"/>
    </row>
    <row r="202" spans="2:8" x14ac:dyDescent="0.25">
      <c r="B202" s="99"/>
      <c r="C202" s="99"/>
      <c r="D202" s="103"/>
      <c r="E202" s="100" t="e">
        <f t="shared" si="4"/>
        <v>#DIV/0!</v>
      </c>
      <c r="F202" s="103"/>
      <c r="G202" s="100" t="e">
        <f t="shared" si="5"/>
        <v>#DIV/0!</v>
      </c>
      <c r="H202" s="100"/>
    </row>
    <row r="203" spans="2:8" x14ac:dyDescent="0.25">
      <c r="B203" s="99"/>
      <c r="C203" s="99"/>
      <c r="D203" s="103"/>
      <c r="E203" s="100" t="e">
        <f t="shared" ref="E203:E266" si="6">100*(D203-C203)/C203</f>
        <v>#DIV/0!</v>
      </c>
      <c r="F203" s="103"/>
      <c r="G203" s="100" t="e">
        <f t="shared" ref="G203:G266" si="7">100*(F203-C203)/C203</f>
        <v>#DIV/0!</v>
      </c>
      <c r="H203" s="100"/>
    </row>
    <row r="204" spans="2:8" x14ac:dyDescent="0.25">
      <c r="B204" s="99"/>
      <c r="C204" s="99"/>
      <c r="D204" s="103"/>
      <c r="E204" s="100" t="e">
        <f t="shared" si="6"/>
        <v>#DIV/0!</v>
      </c>
      <c r="F204" s="103"/>
      <c r="G204" s="100" t="e">
        <f t="shared" si="7"/>
        <v>#DIV/0!</v>
      </c>
      <c r="H204" s="100"/>
    </row>
    <row r="205" spans="2:8" x14ac:dyDescent="0.25">
      <c r="B205" s="99"/>
      <c r="C205" s="99"/>
      <c r="D205" s="103"/>
      <c r="E205" s="100" t="e">
        <f t="shared" si="6"/>
        <v>#DIV/0!</v>
      </c>
      <c r="F205" s="103"/>
      <c r="G205" s="100" t="e">
        <f t="shared" si="7"/>
        <v>#DIV/0!</v>
      </c>
      <c r="H205" s="100"/>
    </row>
    <row r="206" spans="2:8" x14ac:dyDescent="0.25">
      <c r="B206" s="99"/>
      <c r="C206" s="99"/>
      <c r="D206" s="103"/>
      <c r="E206" s="100" t="e">
        <f t="shared" si="6"/>
        <v>#DIV/0!</v>
      </c>
      <c r="F206" s="103"/>
      <c r="G206" s="100" t="e">
        <f t="shared" si="7"/>
        <v>#DIV/0!</v>
      </c>
      <c r="H206" s="100"/>
    </row>
    <row r="207" spans="2:8" x14ac:dyDescent="0.25">
      <c r="B207" s="99"/>
      <c r="C207" s="99"/>
      <c r="D207" s="103"/>
      <c r="E207" s="100" t="e">
        <f t="shared" si="6"/>
        <v>#DIV/0!</v>
      </c>
      <c r="F207" s="103"/>
      <c r="G207" s="100" t="e">
        <f t="shared" si="7"/>
        <v>#DIV/0!</v>
      </c>
      <c r="H207" s="100"/>
    </row>
    <row r="208" spans="2:8" x14ac:dyDescent="0.25">
      <c r="B208" s="99"/>
      <c r="C208" s="99"/>
      <c r="D208" s="103"/>
      <c r="E208" s="100" t="e">
        <f t="shared" si="6"/>
        <v>#DIV/0!</v>
      </c>
      <c r="F208" s="103"/>
      <c r="G208" s="100" t="e">
        <f t="shared" si="7"/>
        <v>#DIV/0!</v>
      </c>
      <c r="H208" s="100"/>
    </row>
    <row r="209" spans="2:8" x14ac:dyDescent="0.25">
      <c r="B209" s="99"/>
      <c r="C209" s="99"/>
      <c r="D209" s="103"/>
      <c r="E209" s="100" t="e">
        <f t="shared" si="6"/>
        <v>#DIV/0!</v>
      </c>
      <c r="F209" s="103"/>
      <c r="G209" s="100" t="e">
        <f t="shared" si="7"/>
        <v>#DIV/0!</v>
      </c>
      <c r="H209" s="100"/>
    </row>
    <row r="210" spans="2:8" x14ac:dyDescent="0.25">
      <c r="B210" s="99"/>
      <c r="C210" s="99"/>
      <c r="D210" s="103"/>
      <c r="E210" s="100" t="e">
        <f t="shared" si="6"/>
        <v>#DIV/0!</v>
      </c>
      <c r="F210" s="103"/>
      <c r="G210" s="100" t="e">
        <f t="shared" si="7"/>
        <v>#DIV/0!</v>
      </c>
      <c r="H210" s="100"/>
    </row>
    <row r="211" spans="2:8" x14ac:dyDescent="0.25">
      <c r="B211" s="99"/>
      <c r="C211" s="99"/>
      <c r="D211" s="103"/>
      <c r="E211" s="100" t="e">
        <f t="shared" si="6"/>
        <v>#DIV/0!</v>
      </c>
      <c r="F211" s="103"/>
      <c r="G211" s="100" t="e">
        <f t="shared" si="7"/>
        <v>#DIV/0!</v>
      </c>
      <c r="H211" s="100"/>
    </row>
    <row r="212" spans="2:8" x14ac:dyDescent="0.25">
      <c r="B212" s="99"/>
      <c r="C212" s="99"/>
      <c r="D212" s="103"/>
      <c r="E212" s="100" t="e">
        <f t="shared" si="6"/>
        <v>#DIV/0!</v>
      </c>
      <c r="F212" s="103"/>
      <c r="G212" s="100" t="e">
        <f t="shared" si="7"/>
        <v>#DIV/0!</v>
      </c>
      <c r="H212" s="100"/>
    </row>
    <row r="213" spans="2:8" x14ac:dyDescent="0.25">
      <c r="B213" s="99"/>
      <c r="C213" s="99"/>
      <c r="D213" s="103"/>
      <c r="E213" s="100" t="e">
        <f t="shared" si="6"/>
        <v>#DIV/0!</v>
      </c>
      <c r="F213" s="103"/>
      <c r="G213" s="100" t="e">
        <f t="shared" si="7"/>
        <v>#DIV/0!</v>
      </c>
      <c r="H213" s="100"/>
    </row>
    <row r="214" spans="2:8" x14ac:dyDescent="0.25">
      <c r="B214" s="99"/>
      <c r="C214" s="99"/>
      <c r="D214" s="103"/>
      <c r="E214" s="100" t="e">
        <f t="shared" si="6"/>
        <v>#DIV/0!</v>
      </c>
      <c r="F214" s="103"/>
      <c r="G214" s="100" t="e">
        <f t="shared" si="7"/>
        <v>#DIV/0!</v>
      </c>
      <c r="H214" s="100"/>
    </row>
    <row r="215" spans="2:8" x14ac:dyDescent="0.25">
      <c r="B215" s="99"/>
      <c r="C215" s="99"/>
      <c r="D215" s="103"/>
      <c r="E215" s="100" t="e">
        <f t="shared" si="6"/>
        <v>#DIV/0!</v>
      </c>
      <c r="F215" s="103"/>
      <c r="G215" s="100" t="e">
        <f t="shared" si="7"/>
        <v>#DIV/0!</v>
      </c>
      <c r="H215" s="100"/>
    </row>
    <row r="216" spans="2:8" x14ac:dyDescent="0.25">
      <c r="B216" s="99"/>
      <c r="C216" s="99"/>
      <c r="D216" s="103"/>
      <c r="E216" s="100" t="e">
        <f t="shared" si="6"/>
        <v>#DIV/0!</v>
      </c>
      <c r="F216" s="103"/>
      <c r="G216" s="100" t="e">
        <f t="shared" si="7"/>
        <v>#DIV/0!</v>
      </c>
      <c r="H216" s="100"/>
    </row>
    <row r="217" spans="2:8" x14ac:dyDescent="0.25">
      <c r="B217" s="99"/>
      <c r="C217" s="99"/>
      <c r="D217" s="103"/>
      <c r="E217" s="100" t="e">
        <f t="shared" si="6"/>
        <v>#DIV/0!</v>
      </c>
      <c r="F217" s="103"/>
      <c r="G217" s="100" t="e">
        <f t="shared" si="7"/>
        <v>#DIV/0!</v>
      </c>
      <c r="H217" s="100"/>
    </row>
    <row r="218" spans="2:8" x14ac:dyDescent="0.25">
      <c r="B218" s="99"/>
      <c r="C218" s="99"/>
      <c r="D218" s="103"/>
      <c r="E218" s="100" t="e">
        <f t="shared" si="6"/>
        <v>#DIV/0!</v>
      </c>
      <c r="F218" s="103"/>
      <c r="G218" s="100" t="e">
        <f t="shared" si="7"/>
        <v>#DIV/0!</v>
      </c>
      <c r="H218" s="100"/>
    </row>
    <row r="219" spans="2:8" x14ac:dyDescent="0.25">
      <c r="B219" s="99"/>
      <c r="C219" s="99"/>
      <c r="D219" s="103"/>
      <c r="E219" s="100" t="e">
        <f t="shared" si="6"/>
        <v>#DIV/0!</v>
      </c>
      <c r="F219" s="103"/>
      <c r="G219" s="100" t="e">
        <f t="shared" si="7"/>
        <v>#DIV/0!</v>
      </c>
      <c r="H219" s="100"/>
    </row>
    <row r="220" spans="2:8" x14ac:dyDescent="0.25">
      <c r="B220" s="99"/>
      <c r="C220" s="99"/>
      <c r="D220" s="103"/>
      <c r="E220" s="100" t="e">
        <f t="shared" si="6"/>
        <v>#DIV/0!</v>
      </c>
      <c r="F220" s="103"/>
      <c r="G220" s="100" t="e">
        <f t="shared" si="7"/>
        <v>#DIV/0!</v>
      </c>
      <c r="H220" s="100"/>
    </row>
    <row r="221" spans="2:8" x14ac:dyDescent="0.25">
      <c r="B221" s="99"/>
      <c r="C221" s="99"/>
      <c r="D221" s="103"/>
      <c r="E221" s="100" t="e">
        <f t="shared" si="6"/>
        <v>#DIV/0!</v>
      </c>
      <c r="F221" s="103"/>
      <c r="G221" s="100" t="e">
        <f t="shared" si="7"/>
        <v>#DIV/0!</v>
      </c>
      <c r="H221" s="100"/>
    </row>
    <row r="222" spans="2:8" x14ac:dyDescent="0.25">
      <c r="B222" s="99"/>
      <c r="C222" s="99"/>
      <c r="D222" s="103"/>
      <c r="E222" s="100" t="e">
        <f t="shared" si="6"/>
        <v>#DIV/0!</v>
      </c>
      <c r="F222" s="103"/>
      <c r="G222" s="100" t="e">
        <f t="shared" si="7"/>
        <v>#DIV/0!</v>
      </c>
      <c r="H222" s="100"/>
    </row>
    <row r="223" spans="2:8" x14ac:dyDescent="0.25">
      <c r="B223" s="99"/>
      <c r="C223" s="99"/>
      <c r="D223" s="103"/>
      <c r="E223" s="100" t="e">
        <f t="shared" si="6"/>
        <v>#DIV/0!</v>
      </c>
      <c r="F223" s="103"/>
      <c r="G223" s="100" t="e">
        <f t="shared" si="7"/>
        <v>#DIV/0!</v>
      </c>
      <c r="H223" s="100"/>
    </row>
    <row r="224" spans="2:8" x14ac:dyDescent="0.25">
      <c r="B224" s="99"/>
      <c r="C224" s="99"/>
      <c r="D224" s="103"/>
      <c r="E224" s="100" t="e">
        <f t="shared" si="6"/>
        <v>#DIV/0!</v>
      </c>
      <c r="F224" s="103"/>
      <c r="G224" s="100" t="e">
        <f t="shared" si="7"/>
        <v>#DIV/0!</v>
      </c>
      <c r="H224" s="100"/>
    </row>
    <row r="225" spans="2:8" x14ac:dyDescent="0.25">
      <c r="B225" s="99"/>
      <c r="C225" s="99"/>
      <c r="D225" s="103"/>
      <c r="E225" s="100" t="e">
        <f t="shared" si="6"/>
        <v>#DIV/0!</v>
      </c>
      <c r="F225" s="103"/>
      <c r="G225" s="100" t="e">
        <f t="shared" si="7"/>
        <v>#DIV/0!</v>
      </c>
      <c r="H225" s="100"/>
    </row>
    <row r="226" spans="2:8" x14ac:dyDescent="0.25">
      <c r="B226" s="99"/>
      <c r="C226" s="99"/>
      <c r="D226" s="103"/>
      <c r="E226" s="100" t="e">
        <f t="shared" si="6"/>
        <v>#DIV/0!</v>
      </c>
      <c r="F226" s="103"/>
      <c r="G226" s="100" t="e">
        <f t="shared" si="7"/>
        <v>#DIV/0!</v>
      </c>
      <c r="H226" s="100"/>
    </row>
    <row r="227" spans="2:8" x14ac:dyDescent="0.25">
      <c r="B227" s="99"/>
      <c r="C227" s="99"/>
      <c r="D227" s="103"/>
      <c r="E227" s="100" t="e">
        <f t="shared" si="6"/>
        <v>#DIV/0!</v>
      </c>
      <c r="F227" s="103"/>
      <c r="G227" s="100" t="e">
        <f t="shared" si="7"/>
        <v>#DIV/0!</v>
      </c>
      <c r="H227" s="100"/>
    </row>
    <row r="228" spans="2:8" x14ac:dyDescent="0.25">
      <c r="B228" s="99"/>
      <c r="C228" s="99"/>
      <c r="D228" s="103"/>
      <c r="E228" s="100" t="e">
        <f t="shared" si="6"/>
        <v>#DIV/0!</v>
      </c>
      <c r="F228" s="103"/>
      <c r="G228" s="100" t="e">
        <f t="shared" si="7"/>
        <v>#DIV/0!</v>
      </c>
      <c r="H228" s="100"/>
    </row>
    <row r="229" spans="2:8" x14ac:dyDescent="0.25">
      <c r="B229" s="99"/>
      <c r="C229" s="99"/>
      <c r="D229" s="103"/>
      <c r="E229" s="100" t="e">
        <f t="shared" si="6"/>
        <v>#DIV/0!</v>
      </c>
      <c r="F229" s="103"/>
      <c r="G229" s="100" t="e">
        <f t="shared" si="7"/>
        <v>#DIV/0!</v>
      </c>
      <c r="H229" s="100"/>
    </row>
    <row r="230" spans="2:8" x14ac:dyDescent="0.25">
      <c r="B230" s="99"/>
      <c r="C230" s="99"/>
      <c r="D230" s="103"/>
      <c r="E230" s="100" t="e">
        <f t="shared" si="6"/>
        <v>#DIV/0!</v>
      </c>
      <c r="F230" s="103"/>
      <c r="G230" s="100" t="e">
        <f t="shared" si="7"/>
        <v>#DIV/0!</v>
      </c>
      <c r="H230" s="100"/>
    </row>
    <row r="231" spans="2:8" x14ac:dyDescent="0.25">
      <c r="B231" s="99"/>
      <c r="C231" s="99"/>
      <c r="D231" s="103"/>
      <c r="E231" s="100" t="e">
        <f t="shared" si="6"/>
        <v>#DIV/0!</v>
      </c>
      <c r="F231" s="103"/>
      <c r="G231" s="100" t="e">
        <f t="shared" si="7"/>
        <v>#DIV/0!</v>
      </c>
      <c r="H231" s="100"/>
    </row>
    <row r="232" spans="2:8" x14ac:dyDescent="0.25">
      <c r="B232" s="99"/>
      <c r="C232" s="99"/>
      <c r="D232" s="103"/>
      <c r="E232" s="100" t="e">
        <f t="shared" si="6"/>
        <v>#DIV/0!</v>
      </c>
      <c r="F232" s="103"/>
      <c r="G232" s="100" t="e">
        <f t="shared" si="7"/>
        <v>#DIV/0!</v>
      </c>
      <c r="H232" s="100"/>
    </row>
    <row r="233" spans="2:8" x14ac:dyDescent="0.25">
      <c r="B233" s="99"/>
      <c r="C233" s="99"/>
      <c r="D233" s="103"/>
      <c r="E233" s="100" t="e">
        <f t="shared" si="6"/>
        <v>#DIV/0!</v>
      </c>
      <c r="F233" s="103"/>
      <c r="G233" s="100" t="e">
        <f t="shared" si="7"/>
        <v>#DIV/0!</v>
      </c>
      <c r="H233" s="100"/>
    </row>
    <row r="234" spans="2:8" x14ac:dyDescent="0.25">
      <c r="B234" s="99"/>
      <c r="C234" s="99"/>
      <c r="D234" s="103"/>
      <c r="E234" s="100" t="e">
        <f t="shared" si="6"/>
        <v>#DIV/0!</v>
      </c>
      <c r="F234" s="103"/>
      <c r="G234" s="100" t="e">
        <f t="shared" si="7"/>
        <v>#DIV/0!</v>
      </c>
      <c r="H234" s="100"/>
    </row>
    <row r="235" spans="2:8" x14ac:dyDescent="0.25">
      <c r="B235" s="99"/>
      <c r="C235" s="99"/>
      <c r="D235" s="103"/>
      <c r="E235" s="100" t="e">
        <f t="shared" si="6"/>
        <v>#DIV/0!</v>
      </c>
      <c r="F235" s="103"/>
      <c r="G235" s="100" t="e">
        <f t="shared" si="7"/>
        <v>#DIV/0!</v>
      </c>
      <c r="H235" s="100"/>
    </row>
    <row r="236" spans="2:8" x14ac:dyDescent="0.25">
      <c r="B236" s="99"/>
      <c r="C236" s="99"/>
      <c r="D236" s="103"/>
      <c r="E236" s="100" t="e">
        <f t="shared" si="6"/>
        <v>#DIV/0!</v>
      </c>
      <c r="F236" s="103"/>
      <c r="G236" s="100" t="e">
        <f t="shared" si="7"/>
        <v>#DIV/0!</v>
      </c>
      <c r="H236" s="100"/>
    </row>
    <row r="237" spans="2:8" x14ac:dyDescent="0.25">
      <c r="B237" s="99"/>
      <c r="C237" s="99"/>
      <c r="D237" s="103"/>
      <c r="E237" s="100" t="e">
        <f t="shared" si="6"/>
        <v>#DIV/0!</v>
      </c>
      <c r="F237" s="103"/>
      <c r="G237" s="100" t="e">
        <f t="shared" si="7"/>
        <v>#DIV/0!</v>
      </c>
      <c r="H237" s="100"/>
    </row>
    <row r="238" spans="2:8" x14ac:dyDescent="0.25">
      <c r="B238" s="99"/>
      <c r="C238" s="99"/>
      <c r="D238" s="103"/>
      <c r="E238" s="100" t="e">
        <f t="shared" si="6"/>
        <v>#DIV/0!</v>
      </c>
      <c r="F238" s="103"/>
      <c r="G238" s="100" t="e">
        <f t="shared" si="7"/>
        <v>#DIV/0!</v>
      </c>
      <c r="H238" s="100"/>
    </row>
    <row r="239" spans="2:8" x14ac:dyDescent="0.25">
      <c r="B239" s="99"/>
      <c r="C239" s="99"/>
      <c r="D239" s="103"/>
      <c r="E239" s="100" t="e">
        <f t="shared" si="6"/>
        <v>#DIV/0!</v>
      </c>
      <c r="F239" s="103"/>
      <c r="G239" s="100" t="e">
        <f t="shared" si="7"/>
        <v>#DIV/0!</v>
      </c>
      <c r="H239" s="100"/>
    </row>
    <row r="240" spans="2:8" x14ac:dyDescent="0.25">
      <c r="B240" s="99"/>
      <c r="C240" s="99"/>
      <c r="D240" s="103"/>
      <c r="E240" s="100" t="e">
        <f t="shared" si="6"/>
        <v>#DIV/0!</v>
      </c>
      <c r="F240" s="103"/>
      <c r="G240" s="100" t="e">
        <f t="shared" si="7"/>
        <v>#DIV/0!</v>
      </c>
      <c r="H240" s="100"/>
    </row>
    <row r="241" spans="2:8" x14ac:dyDescent="0.25">
      <c r="B241" s="99"/>
      <c r="C241" s="99"/>
      <c r="D241" s="103"/>
      <c r="E241" s="100" t="e">
        <f t="shared" si="6"/>
        <v>#DIV/0!</v>
      </c>
      <c r="F241" s="103"/>
      <c r="G241" s="100" t="e">
        <f t="shared" si="7"/>
        <v>#DIV/0!</v>
      </c>
      <c r="H241" s="100"/>
    </row>
    <row r="242" spans="2:8" x14ac:dyDescent="0.25">
      <c r="B242" s="99"/>
      <c r="C242" s="99"/>
      <c r="D242" s="103"/>
      <c r="E242" s="100" t="e">
        <f t="shared" si="6"/>
        <v>#DIV/0!</v>
      </c>
      <c r="F242" s="103"/>
      <c r="G242" s="100" t="e">
        <f t="shared" si="7"/>
        <v>#DIV/0!</v>
      </c>
      <c r="H242" s="100"/>
    </row>
    <row r="243" spans="2:8" x14ac:dyDescent="0.25">
      <c r="B243" s="99"/>
      <c r="C243" s="99"/>
      <c r="D243" s="103"/>
      <c r="E243" s="100" t="e">
        <f t="shared" si="6"/>
        <v>#DIV/0!</v>
      </c>
      <c r="F243" s="103"/>
      <c r="G243" s="100" t="e">
        <f t="shared" si="7"/>
        <v>#DIV/0!</v>
      </c>
      <c r="H243" s="100"/>
    </row>
    <row r="244" spans="2:8" x14ac:dyDescent="0.25">
      <c r="B244" s="99"/>
      <c r="C244" s="99"/>
      <c r="D244" s="103"/>
      <c r="E244" s="100" t="e">
        <f t="shared" si="6"/>
        <v>#DIV/0!</v>
      </c>
      <c r="F244" s="103"/>
      <c r="G244" s="100" t="e">
        <f t="shared" si="7"/>
        <v>#DIV/0!</v>
      </c>
      <c r="H244" s="100"/>
    </row>
    <row r="245" spans="2:8" x14ac:dyDescent="0.25">
      <c r="B245" s="99"/>
      <c r="C245" s="99"/>
      <c r="D245" s="103"/>
      <c r="E245" s="100" t="e">
        <f t="shared" si="6"/>
        <v>#DIV/0!</v>
      </c>
      <c r="F245" s="103"/>
      <c r="G245" s="100" t="e">
        <f t="shared" si="7"/>
        <v>#DIV/0!</v>
      </c>
      <c r="H245" s="100"/>
    </row>
    <row r="246" spans="2:8" x14ac:dyDescent="0.25">
      <c r="B246" s="99"/>
      <c r="C246" s="99"/>
      <c r="D246" s="103"/>
      <c r="E246" s="100" t="e">
        <f t="shared" si="6"/>
        <v>#DIV/0!</v>
      </c>
      <c r="F246" s="103"/>
      <c r="G246" s="100" t="e">
        <f t="shared" si="7"/>
        <v>#DIV/0!</v>
      </c>
      <c r="H246" s="100"/>
    </row>
    <row r="247" spans="2:8" x14ac:dyDescent="0.25">
      <c r="B247" s="99"/>
      <c r="C247" s="99"/>
      <c r="D247" s="103"/>
      <c r="E247" s="100" t="e">
        <f t="shared" si="6"/>
        <v>#DIV/0!</v>
      </c>
      <c r="F247" s="103"/>
      <c r="G247" s="100" t="e">
        <f t="shared" si="7"/>
        <v>#DIV/0!</v>
      </c>
      <c r="H247" s="100"/>
    </row>
    <row r="248" spans="2:8" x14ac:dyDescent="0.25">
      <c r="B248" s="99"/>
      <c r="C248" s="99"/>
      <c r="D248" s="103"/>
      <c r="E248" s="100" t="e">
        <f t="shared" si="6"/>
        <v>#DIV/0!</v>
      </c>
      <c r="F248" s="103"/>
      <c r="G248" s="100" t="e">
        <f t="shared" si="7"/>
        <v>#DIV/0!</v>
      </c>
      <c r="H248" s="100"/>
    </row>
    <row r="249" spans="2:8" x14ac:dyDescent="0.25">
      <c r="B249" s="99"/>
      <c r="C249" s="99"/>
      <c r="D249" s="103"/>
      <c r="E249" s="100" t="e">
        <f t="shared" si="6"/>
        <v>#DIV/0!</v>
      </c>
      <c r="F249" s="103"/>
      <c r="G249" s="100" t="e">
        <f t="shared" si="7"/>
        <v>#DIV/0!</v>
      </c>
      <c r="H249" s="100"/>
    </row>
    <row r="250" spans="2:8" x14ac:dyDescent="0.25">
      <c r="B250" s="99"/>
      <c r="C250" s="99"/>
      <c r="D250" s="103"/>
      <c r="E250" s="100" t="e">
        <f t="shared" si="6"/>
        <v>#DIV/0!</v>
      </c>
      <c r="F250" s="103"/>
      <c r="G250" s="100" t="e">
        <f t="shared" si="7"/>
        <v>#DIV/0!</v>
      </c>
      <c r="H250" s="100"/>
    </row>
    <row r="251" spans="2:8" x14ac:dyDescent="0.25">
      <c r="B251" s="99"/>
      <c r="C251" s="99"/>
      <c r="D251" s="103"/>
      <c r="E251" s="100" t="e">
        <f t="shared" si="6"/>
        <v>#DIV/0!</v>
      </c>
      <c r="F251" s="103"/>
      <c r="G251" s="100" t="e">
        <f t="shared" si="7"/>
        <v>#DIV/0!</v>
      </c>
      <c r="H251" s="100"/>
    </row>
    <row r="252" spans="2:8" x14ac:dyDescent="0.25">
      <c r="B252" s="99"/>
      <c r="C252" s="99"/>
      <c r="D252" s="103"/>
      <c r="E252" s="100" t="e">
        <f t="shared" si="6"/>
        <v>#DIV/0!</v>
      </c>
      <c r="F252" s="103"/>
      <c r="G252" s="100" t="e">
        <f t="shared" si="7"/>
        <v>#DIV/0!</v>
      </c>
      <c r="H252" s="100"/>
    </row>
    <row r="253" spans="2:8" x14ac:dyDescent="0.25">
      <c r="B253" s="99"/>
      <c r="C253" s="99"/>
      <c r="D253" s="103"/>
      <c r="E253" s="100" t="e">
        <f t="shared" si="6"/>
        <v>#DIV/0!</v>
      </c>
      <c r="F253" s="103"/>
      <c r="G253" s="100" t="e">
        <f t="shared" si="7"/>
        <v>#DIV/0!</v>
      </c>
      <c r="H253" s="100"/>
    </row>
    <row r="254" spans="2:8" x14ac:dyDescent="0.25">
      <c r="B254" s="99"/>
      <c r="C254" s="99"/>
      <c r="D254" s="103"/>
      <c r="E254" s="100" t="e">
        <f t="shared" si="6"/>
        <v>#DIV/0!</v>
      </c>
      <c r="F254" s="103"/>
      <c r="G254" s="100" t="e">
        <f t="shared" si="7"/>
        <v>#DIV/0!</v>
      </c>
      <c r="H254" s="100"/>
    </row>
    <row r="255" spans="2:8" x14ac:dyDescent="0.25">
      <c r="B255" s="99"/>
      <c r="C255" s="99"/>
      <c r="D255" s="103"/>
      <c r="E255" s="100" t="e">
        <f t="shared" si="6"/>
        <v>#DIV/0!</v>
      </c>
      <c r="F255" s="103"/>
      <c r="G255" s="100" t="e">
        <f t="shared" si="7"/>
        <v>#DIV/0!</v>
      </c>
      <c r="H255" s="100"/>
    </row>
    <row r="256" spans="2:8" x14ac:dyDescent="0.25">
      <c r="B256" s="99"/>
      <c r="C256" s="99"/>
      <c r="D256" s="103"/>
      <c r="E256" s="100" t="e">
        <f t="shared" si="6"/>
        <v>#DIV/0!</v>
      </c>
      <c r="F256" s="103"/>
      <c r="G256" s="100" t="e">
        <f t="shared" si="7"/>
        <v>#DIV/0!</v>
      </c>
      <c r="H256" s="100"/>
    </row>
    <row r="257" spans="2:8" x14ac:dyDescent="0.25">
      <c r="B257" s="99"/>
      <c r="C257" s="99"/>
      <c r="D257" s="103"/>
      <c r="E257" s="100" t="e">
        <f t="shared" si="6"/>
        <v>#DIV/0!</v>
      </c>
      <c r="F257" s="103"/>
      <c r="G257" s="100" t="e">
        <f t="shared" si="7"/>
        <v>#DIV/0!</v>
      </c>
      <c r="H257" s="100"/>
    </row>
    <row r="258" spans="2:8" x14ac:dyDescent="0.25">
      <c r="B258" s="99"/>
      <c r="C258" s="99"/>
      <c r="D258" s="103"/>
      <c r="E258" s="100" t="e">
        <f t="shared" si="6"/>
        <v>#DIV/0!</v>
      </c>
      <c r="F258" s="103"/>
      <c r="G258" s="100" t="e">
        <f t="shared" si="7"/>
        <v>#DIV/0!</v>
      </c>
      <c r="H258" s="100"/>
    </row>
    <row r="259" spans="2:8" x14ac:dyDescent="0.25">
      <c r="B259" s="99"/>
      <c r="C259" s="99"/>
      <c r="D259" s="103"/>
      <c r="E259" s="100" t="e">
        <f t="shared" si="6"/>
        <v>#DIV/0!</v>
      </c>
      <c r="F259" s="103"/>
      <c r="G259" s="100" t="e">
        <f t="shared" si="7"/>
        <v>#DIV/0!</v>
      </c>
      <c r="H259" s="100"/>
    </row>
    <row r="260" spans="2:8" x14ac:dyDescent="0.25">
      <c r="B260" s="99"/>
      <c r="C260" s="99"/>
      <c r="D260" s="103"/>
      <c r="E260" s="100" t="e">
        <f t="shared" si="6"/>
        <v>#DIV/0!</v>
      </c>
      <c r="F260" s="103"/>
      <c r="G260" s="100" t="e">
        <f t="shared" si="7"/>
        <v>#DIV/0!</v>
      </c>
      <c r="H260" s="100"/>
    </row>
    <row r="261" spans="2:8" x14ac:dyDescent="0.25">
      <c r="B261" s="99"/>
      <c r="C261" s="99"/>
      <c r="D261" s="103"/>
      <c r="E261" s="100" t="e">
        <f t="shared" si="6"/>
        <v>#DIV/0!</v>
      </c>
      <c r="F261" s="103"/>
      <c r="G261" s="100" t="e">
        <f t="shared" si="7"/>
        <v>#DIV/0!</v>
      </c>
      <c r="H261" s="100"/>
    </row>
    <row r="262" spans="2:8" x14ac:dyDescent="0.25">
      <c r="B262" s="99"/>
      <c r="C262" s="99"/>
      <c r="D262" s="103"/>
      <c r="E262" s="100" t="e">
        <f t="shared" si="6"/>
        <v>#DIV/0!</v>
      </c>
      <c r="F262" s="103"/>
      <c r="G262" s="100" t="e">
        <f t="shared" si="7"/>
        <v>#DIV/0!</v>
      </c>
      <c r="H262" s="100"/>
    </row>
    <row r="263" spans="2:8" x14ac:dyDescent="0.25">
      <c r="B263" s="99"/>
      <c r="C263" s="99"/>
      <c r="D263" s="103"/>
      <c r="E263" s="100" t="e">
        <f t="shared" si="6"/>
        <v>#DIV/0!</v>
      </c>
      <c r="F263" s="103"/>
      <c r="G263" s="100" t="e">
        <f t="shared" si="7"/>
        <v>#DIV/0!</v>
      </c>
      <c r="H263" s="100"/>
    </row>
    <row r="264" spans="2:8" x14ac:dyDescent="0.25">
      <c r="B264" s="99"/>
      <c r="C264" s="99"/>
      <c r="D264" s="103"/>
      <c r="E264" s="100" t="e">
        <f t="shared" si="6"/>
        <v>#DIV/0!</v>
      </c>
      <c r="F264" s="103"/>
      <c r="G264" s="100" t="e">
        <f t="shared" si="7"/>
        <v>#DIV/0!</v>
      </c>
      <c r="H264" s="100"/>
    </row>
    <row r="265" spans="2:8" x14ac:dyDescent="0.25">
      <c r="B265" s="99"/>
      <c r="C265" s="99"/>
      <c r="D265" s="103"/>
      <c r="E265" s="100" t="e">
        <f t="shared" si="6"/>
        <v>#DIV/0!</v>
      </c>
      <c r="F265" s="103"/>
      <c r="G265" s="100" t="e">
        <f t="shared" si="7"/>
        <v>#DIV/0!</v>
      </c>
      <c r="H265" s="100"/>
    </row>
    <row r="266" spans="2:8" x14ac:dyDescent="0.25">
      <c r="B266" s="99"/>
      <c r="C266" s="99"/>
      <c r="D266" s="103"/>
      <c r="E266" s="100" t="e">
        <f t="shared" si="6"/>
        <v>#DIV/0!</v>
      </c>
      <c r="F266" s="103"/>
      <c r="G266" s="100" t="e">
        <f t="shared" si="7"/>
        <v>#DIV/0!</v>
      </c>
      <c r="H266" s="100"/>
    </row>
    <row r="267" spans="2:8" x14ac:dyDescent="0.25">
      <c r="B267" s="99"/>
      <c r="C267" s="99"/>
      <c r="D267" s="103"/>
      <c r="E267" s="100" t="e">
        <f t="shared" ref="E267:E330" si="8">100*(D267-C267)/C267</f>
        <v>#DIV/0!</v>
      </c>
      <c r="F267" s="103"/>
      <c r="G267" s="100" t="e">
        <f t="shared" ref="G267:G330" si="9">100*(F267-C267)/C267</f>
        <v>#DIV/0!</v>
      </c>
      <c r="H267" s="100"/>
    </row>
    <row r="268" spans="2:8" x14ac:dyDescent="0.25">
      <c r="B268" s="99"/>
      <c r="C268" s="99"/>
      <c r="D268" s="103"/>
      <c r="E268" s="100" t="e">
        <f t="shared" si="8"/>
        <v>#DIV/0!</v>
      </c>
      <c r="F268" s="103"/>
      <c r="G268" s="100" t="e">
        <f t="shared" si="9"/>
        <v>#DIV/0!</v>
      </c>
      <c r="H268" s="100"/>
    </row>
    <row r="269" spans="2:8" x14ac:dyDescent="0.25">
      <c r="B269" s="99"/>
      <c r="C269" s="99"/>
      <c r="D269" s="103"/>
      <c r="E269" s="100" t="e">
        <f t="shared" si="8"/>
        <v>#DIV/0!</v>
      </c>
      <c r="F269" s="103"/>
      <c r="G269" s="100" t="e">
        <f t="shared" si="9"/>
        <v>#DIV/0!</v>
      </c>
      <c r="H269" s="100"/>
    </row>
    <row r="270" spans="2:8" x14ac:dyDescent="0.25">
      <c r="B270" s="99"/>
      <c r="C270" s="99"/>
      <c r="D270" s="103"/>
      <c r="E270" s="100" t="e">
        <f t="shared" si="8"/>
        <v>#DIV/0!</v>
      </c>
      <c r="F270" s="103"/>
      <c r="G270" s="100" t="e">
        <f t="shared" si="9"/>
        <v>#DIV/0!</v>
      </c>
      <c r="H270" s="100"/>
    </row>
    <row r="271" spans="2:8" x14ac:dyDescent="0.25">
      <c r="B271" s="99"/>
      <c r="C271" s="99"/>
      <c r="D271" s="103"/>
      <c r="E271" s="100" t="e">
        <f t="shared" si="8"/>
        <v>#DIV/0!</v>
      </c>
      <c r="F271" s="103"/>
      <c r="G271" s="100" t="e">
        <f t="shared" si="9"/>
        <v>#DIV/0!</v>
      </c>
      <c r="H271" s="100"/>
    </row>
    <row r="272" spans="2:8" x14ac:dyDescent="0.25">
      <c r="B272" s="99"/>
      <c r="C272" s="99"/>
      <c r="D272" s="103"/>
      <c r="E272" s="100" t="e">
        <f t="shared" si="8"/>
        <v>#DIV/0!</v>
      </c>
      <c r="F272" s="103"/>
      <c r="G272" s="100" t="e">
        <f t="shared" si="9"/>
        <v>#DIV/0!</v>
      </c>
      <c r="H272" s="100"/>
    </row>
    <row r="273" spans="2:8" x14ac:dyDescent="0.25">
      <c r="B273" s="99"/>
      <c r="C273" s="99"/>
      <c r="D273" s="103"/>
      <c r="E273" s="100" t="e">
        <f t="shared" si="8"/>
        <v>#DIV/0!</v>
      </c>
      <c r="F273" s="103"/>
      <c r="G273" s="100" t="e">
        <f t="shared" si="9"/>
        <v>#DIV/0!</v>
      </c>
      <c r="H273" s="100"/>
    </row>
    <row r="274" spans="2:8" x14ac:dyDescent="0.25">
      <c r="B274" s="99"/>
      <c r="C274" s="99"/>
      <c r="D274" s="103"/>
      <c r="E274" s="100" t="e">
        <f t="shared" si="8"/>
        <v>#DIV/0!</v>
      </c>
      <c r="F274" s="103"/>
      <c r="G274" s="100" t="e">
        <f t="shared" si="9"/>
        <v>#DIV/0!</v>
      </c>
      <c r="H274" s="100"/>
    </row>
    <row r="275" spans="2:8" x14ac:dyDescent="0.25">
      <c r="B275" s="99"/>
      <c r="C275" s="99"/>
      <c r="D275" s="103"/>
      <c r="E275" s="100" t="e">
        <f t="shared" si="8"/>
        <v>#DIV/0!</v>
      </c>
      <c r="F275" s="103"/>
      <c r="G275" s="100" t="e">
        <f t="shared" si="9"/>
        <v>#DIV/0!</v>
      </c>
      <c r="H275" s="100"/>
    </row>
    <row r="276" spans="2:8" x14ac:dyDescent="0.25">
      <c r="B276" s="99"/>
      <c r="C276" s="99"/>
      <c r="D276" s="103"/>
      <c r="E276" s="100" t="e">
        <f t="shared" si="8"/>
        <v>#DIV/0!</v>
      </c>
      <c r="F276" s="103"/>
      <c r="G276" s="100" t="e">
        <f t="shared" si="9"/>
        <v>#DIV/0!</v>
      </c>
      <c r="H276" s="100"/>
    </row>
    <row r="277" spans="2:8" x14ac:dyDescent="0.25">
      <c r="B277" s="99"/>
      <c r="C277" s="99"/>
      <c r="D277" s="103"/>
      <c r="E277" s="100" t="e">
        <f t="shared" si="8"/>
        <v>#DIV/0!</v>
      </c>
      <c r="F277" s="103"/>
      <c r="G277" s="100" t="e">
        <f t="shared" si="9"/>
        <v>#DIV/0!</v>
      </c>
      <c r="H277" s="100"/>
    </row>
    <row r="278" spans="2:8" x14ac:dyDescent="0.25">
      <c r="B278" s="99"/>
      <c r="C278" s="99"/>
      <c r="D278" s="103"/>
      <c r="E278" s="100" t="e">
        <f t="shared" si="8"/>
        <v>#DIV/0!</v>
      </c>
      <c r="F278" s="103"/>
      <c r="G278" s="100" t="e">
        <f t="shared" si="9"/>
        <v>#DIV/0!</v>
      </c>
      <c r="H278" s="100"/>
    </row>
    <row r="279" spans="2:8" x14ac:dyDescent="0.25">
      <c r="B279" s="99"/>
      <c r="C279" s="99"/>
      <c r="D279" s="103"/>
      <c r="E279" s="100" t="e">
        <f t="shared" si="8"/>
        <v>#DIV/0!</v>
      </c>
      <c r="F279" s="103"/>
      <c r="G279" s="100" t="e">
        <f t="shared" si="9"/>
        <v>#DIV/0!</v>
      </c>
      <c r="H279" s="100"/>
    </row>
    <row r="280" spans="2:8" x14ac:dyDescent="0.25">
      <c r="B280" s="99"/>
      <c r="C280" s="99"/>
      <c r="D280" s="103"/>
      <c r="E280" s="100" t="e">
        <f t="shared" si="8"/>
        <v>#DIV/0!</v>
      </c>
      <c r="F280" s="103"/>
      <c r="G280" s="100" t="e">
        <f t="shared" si="9"/>
        <v>#DIV/0!</v>
      </c>
      <c r="H280" s="100"/>
    </row>
    <row r="281" spans="2:8" x14ac:dyDescent="0.25">
      <c r="B281" s="99"/>
      <c r="C281" s="99"/>
      <c r="D281" s="103"/>
      <c r="E281" s="100" t="e">
        <f t="shared" si="8"/>
        <v>#DIV/0!</v>
      </c>
      <c r="F281" s="103"/>
      <c r="G281" s="100" t="e">
        <f t="shared" si="9"/>
        <v>#DIV/0!</v>
      </c>
      <c r="H281" s="100"/>
    </row>
    <row r="282" spans="2:8" x14ac:dyDescent="0.25">
      <c r="B282" s="99"/>
      <c r="C282" s="99"/>
      <c r="D282" s="103"/>
      <c r="E282" s="100" t="e">
        <f t="shared" si="8"/>
        <v>#DIV/0!</v>
      </c>
      <c r="F282" s="103"/>
      <c r="G282" s="100" t="e">
        <f t="shared" si="9"/>
        <v>#DIV/0!</v>
      </c>
      <c r="H282" s="100"/>
    </row>
    <row r="283" spans="2:8" x14ac:dyDescent="0.25">
      <c r="B283" s="99"/>
      <c r="C283" s="99"/>
      <c r="D283" s="103"/>
      <c r="E283" s="100" t="e">
        <f t="shared" si="8"/>
        <v>#DIV/0!</v>
      </c>
      <c r="F283" s="103"/>
      <c r="G283" s="100" t="e">
        <f t="shared" si="9"/>
        <v>#DIV/0!</v>
      </c>
      <c r="H283" s="100"/>
    </row>
    <row r="284" spans="2:8" x14ac:dyDescent="0.25">
      <c r="B284" s="99"/>
      <c r="C284" s="99"/>
      <c r="D284" s="103"/>
      <c r="E284" s="100" t="e">
        <f t="shared" si="8"/>
        <v>#DIV/0!</v>
      </c>
      <c r="F284" s="103"/>
      <c r="G284" s="100" t="e">
        <f t="shared" si="9"/>
        <v>#DIV/0!</v>
      </c>
      <c r="H284" s="100"/>
    </row>
    <row r="285" spans="2:8" x14ac:dyDescent="0.25">
      <c r="B285" s="99"/>
      <c r="C285" s="99"/>
      <c r="D285" s="103"/>
      <c r="E285" s="100" t="e">
        <f t="shared" si="8"/>
        <v>#DIV/0!</v>
      </c>
      <c r="F285" s="103"/>
      <c r="G285" s="100" t="e">
        <f t="shared" si="9"/>
        <v>#DIV/0!</v>
      </c>
      <c r="H285" s="100"/>
    </row>
    <row r="286" spans="2:8" x14ac:dyDescent="0.25">
      <c r="B286" s="99"/>
      <c r="C286" s="99"/>
      <c r="D286" s="103"/>
      <c r="E286" s="100" t="e">
        <f t="shared" si="8"/>
        <v>#DIV/0!</v>
      </c>
      <c r="F286" s="103"/>
      <c r="G286" s="100" t="e">
        <f t="shared" si="9"/>
        <v>#DIV/0!</v>
      </c>
      <c r="H286" s="100"/>
    </row>
    <row r="287" spans="2:8" x14ac:dyDescent="0.25">
      <c r="B287" s="99"/>
      <c r="C287" s="99"/>
      <c r="D287" s="103"/>
      <c r="E287" s="100" t="e">
        <f t="shared" si="8"/>
        <v>#DIV/0!</v>
      </c>
      <c r="F287" s="103"/>
      <c r="G287" s="100" t="e">
        <f t="shared" si="9"/>
        <v>#DIV/0!</v>
      </c>
      <c r="H287" s="100"/>
    </row>
    <row r="288" spans="2:8" x14ac:dyDescent="0.25">
      <c r="B288" s="99"/>
      <c r="C288" s="99"/>
      <c r="D288" s="103"/>
      <c r="E288" s="100" t="e">
        <f t="shared" si="8"/>
        <v>#DIV/0!</v>
      </c>
      <c r="F288" s="103"/>
      <c r="G288" s="100" t="e">
        <f t="shared" si="9"/>
        <v>#DIV/0!</v>
      </c>
      <c r="H288" s="100"/>
    </row>
    <row r="289" spans="2:8" x14ac:dyDescent="0.25">
      <c r="B289" s="99"/>
      <c r="C289" s="99"/>
      <c r="D289" s="103"/>
      <c r="E289" s="100" t="e">
        <f t="shared" si="8"/>
        <v>#DIV/0!</v>
      </c>
      <c r="F289" s="103"/>
      <c r="G289" s="100" t="e">
        <f t="shared" si="9"/>
        <v>#DIV/0!</v>
      </c>
      <c r="H289" s="100"/>
    </row>
    <row r="290" spans="2:8" x14ac:dyDescent="0.25">
      <c r="B290" s="99"/>
      <c r="C290" s="99"/>
      <c r="D290" s="103"/>
      <c r="E290" s="100" t="e">
        <f t="shared" si="8"/>
        <v>#DIV/0!</v>
      </c>
      <c r="F290" s="103"/>
      <c r="G290" s="100" t="e">
        <f t="shared" si="9"/>
        <v>#DIV/0!</v>
      </c>
      <c r="H290" s="100"/>
    </row>
    <row r="291" spans="2:8" x14ac:dyDescent="0.25">
      <c r="B291" s="99"/>
      <c r="C291" s="99"/>
      <c r="D291" s="103"/>
      <c r="E291" s="100" t="e">
        <f t="shared" si="8"/>
        <v>#DIV/0!</v>
      </c>
      <c r="F291" s="103"/>
      <c r="G291" s="100" t="e">
        <f t="shared" si="9"/>
        <v>#DIV/0!</v>
      </c>
      <c r="H291" s="100"/>
    </row>
    <row r="292" spans="2:8" x14ac:dyDescent="0.25">
      <c r="B292" s="99"/>
      <c r="C292" s="99"/>
      <c r="D292" s="103"/>
      <c r="E292" s="100" t="e">
        <f t="shared" si="8"/>
        <v>#DIV/0!</v>
      </c>
      <c r="F292" s="103"/>
      <c r="G292" s="100" t="e">
        <f t="shared" si="9"/>
        <v>#DIV/0!</v>
      </c>
      <c r="H292" s="100"/>
    </row>
    <row r="293" spans="2:8" x14ac:dyDescent="0.25">
      <c r="B293" s="99"/>
      <c r="C293" s="99"/>
      <c r="D293" s="103"/>
      <c r="E293" s="100" t="e">
        <f t="shared" si="8"/>
        <v>#DIV/0!</v>
      </c>
      <c r="F293" s="103"/>
      <c r="G293" s="100" t="e">
        <f t="shared" si="9"/>
        <v>#DIV/0!</v>
      </c>
      <c r="H293" s="100"/>
    </row>
    <row r="294" spans="2:8" x14ac:dyDescent="0.25">
      <c r="B294" s="99"/>
      <c r="C294" s="99"/>
      <c r="D294" s="103"/>
      <c r="E294" s="100" t="e">
        <f t="shared" si="8"/>
        <v>#DIV/0!</v>
      </c>
      <c r="F294" s="103"/>
      <c r="G294" s="100" t="e">
        <f t="shared" si="9"/>
        <v>#DIV/0!</v>
      </c>
      <c r="H294" s="100"/>
    </row>
    <row r="295" spans="2:8" x14ac:dyDescent="0.25">
      <c r="B295" s="99"/>
      <c r="C295" s="99"/>
      <c r="D295" s="103"/>
      <c r="E295" s="100" t="e">
        <f t="shared" si="8"/>
        <v>#DIV/0!</v>
      </c>
      <c r="F295" s="103"/>
      <c r="G295" s="100" t="e">
        <f t="shared" si="9"/>
        <v>#DIV/0!</v>
      </c>
      <c r="H295" s="100"/>
    </row>
    <row r="296" spans="2:8" x14ac:dyDescent="0.25">
      <c r="B296" s="99"/>
      <c r="C296" s="99"/>
      <c r="D296" s="103"/>
      <c r="E296" s="100" t="e">
        <f t="shared" si="8"/>
        <v>#DIV/0!</v>
      </c>
      <c r="F296" s="103"/>
      <c r="G296" s="100" t="e">
        <f t="shared" si="9"/>
        <v>#DIV/0!</v>
      </c>
      <c r="H296" s="100"/>
    </row>
    <row r="297" spans="2:8" x14ac:dyDescent="0.25">
      <c r="B297" s="99"/>
      <c r="C297" s="99"/>
      <c r="D297" s="103"/>
      <c r="E297" s="100" t="e">
        <f t="shared" si="8"/>
        <v>#DIV/0!</v>
      </c>
      <c r="F297" s="103"/>
      <c r="G297" s="100" t="e">
        <f t="shared" si="9"/>
        <v>#DIV/0!</v>
      </c>
      <c r="H297" s="100"/>
    </row>
    <row r="298" spans="2:8" x14ac:dyDescent="0.25">
      <c r="B298" s="99"/>
      <c r="C298" s="99"/>
      <c r="D298" s="103"/>
      <c r="E298" s="100" t="e">
        <f t="shared" si="8"/>
        <v>#DIV/0!</v>
      </c>
      <c r="F298" s="103"/>
      <c r="G298" s="100" t="e">
        <f t="shared" si="9"/>
        <v>#DIV/0!</v>
      </c>
      <c r="H298" s="100"/>
    </row>
    <row r="299" spans="2:8" x14ac:dyDescent="0.25">
      <c r="B299" s="99"/>
      <c r="C299" s="99"/>
      <c r="D299" s="103"/>
      <c r="E299" s="100" t="e">
        <f t="shared" si="8"/>
        <v>#DIV/0!</v>
      </c>
      <c r="F299" s="103"/>
      <c r="G299" s="100" t="e">
        <f t="shared" si="9"/>
        <v>#DIV/0!</v>
      </c>
      <c r="H299" s="100"/>
    </row>
    <row r="300" spans="2:8" x14ac:dyDescent="0.25">
      <c r="B300" s="99"/>
      <c r="C300" s="99"/>
      <c r="D300" s="103"/>
      <c r="E300" s="100" t="e">
        <f t="shared" si="8"/>
        <v>#DIV/0!</v>
      </c>
      <c r="F300" s="103"/>
      <c r="G300" s="100" t="e">
        <f t="shared" si="9"/>
        <v>#DIV/0!</v>
      </c>
      <c r="H300" s="100"/>
    </row>
    <row r="301" spans="2:8" x14ac:dyDescent="0.25">
      <c r="B301" s="99"/>
      <c r="C301" s="99"/>
      <c r="D301" s="103"/>
      <c r="E301" s="100" t="e">
        <f t="shared" si="8"/>
        <v>#DIV/0!</v>
      </c>
      <c r="F301" s="103"/>
      <c r="G301" s="100" t="e">
        <f t="shared" si="9"/>
        <v>#DIV/0!</v>
      </c>
      <c r="H301" s="100"/>
    </row>
    <row r="302" spans="2:8" x14ac:dyDescent="0.25">
      <c r="B302" s="99"/>
      <c r="C302" s="99"/>
      <c r="D302" s="103"/>
      <c r="E302" s="100" t="e">
        <f t="shared" si="8"/>
        <v>#DIV/0!</v>
      </c>
      <c r="F302" s="103"/>
      <c r="G302" s="100" t="e">
        <f t="shared" si="9"/>
        <v>#DIV/0!</v>
      </c>
      <c r="H302" s="100"/>
    </row>
    <row r="303" spans="2:8" x14ac:dyDescent="0.25">
      <c r="B303" s="99"/>
      <c r="C303" s="99"/>
      <c r="D303" s="103"/>
      <c r="E303" s="100" t="e">
        <f t="shared" si="8"/>
        <v>#DIV/0!</v>
      </c>
      <c r="F303" s="103"/>
      <c r="G303" s="100" t="e">
        <f t="shared" si="9"/>
        <v>#DIV/0!</v>
      </c>
      <c r="H303" s="100"/>
    </row>
    <row r="304" spans="2:8" x14ac:dyDescent="0.25">
      <c r="B304" s="99"/>
      <c r="C304" s="99"/>
      <c r="D304" s="103"/>
      <c r="E304" s="100" t="e">
        <f t="shared" si="8"/>
        <v>#DIV/0!</v>
      </c>
      <c r="F304" s="103"/>
      <c r="G304" s="100" t="e">
        <f t="shared" si="9"/>
        <v>#DIV/0!</v>
      </c>
      <c r="H304" s="100"/>
    </row>
    <row r="305" spans="2:8" x14ac:dyDescent="0.25">
      <c r="B305" s="99"/>
      <c r="C305" s="99"/>
      <c r="D305" s="103"/>
      <c r="E305" s="100" t="e">
        <f t="shared" si="8"/>
        <v>#DIV/0!</v>
      </c>
      <c r="F305" s="103"/>
      <c r="G305" s="100" t="e">
        <f t="shared" si="9"/>
        <v>#DIV/0!</v>
      </c>
      <c r="H305" s="100"/>
    </row>
    <row r="306" spans="2:8" x14ac:dyDescent="0.25">
      <c r="B306" s="99"/>
      <c r="C306" s="99"/>
      <c r="D306" s="103"/>
      <c r="E306" s="100" t="e">
        <f t="shared" si="8"/>
        <v>#DIV/0!</v>
      </c>
      <c r="F306" s="103"/>
      <c r="G306" s="100" t="e">
        <f t="shared" si="9"/>
        <v>#DIV/0!</v>
      </c>
      <c r="H306" s="100"/>
    </row>
    <row r="307" spans="2:8" x14ac:dyDescent="0.25">
      <c r="B307" s="99"/>
      <c r="C307" s="99"/>
      <c r="D307" s="103"/>
      <c r="E307" s="100" t="e">
        <f t="shared" si="8"/>
        <v>#DIV/0!</v>
      </c>
      <c r="F307" s="103"/>
      <c r="G307" s="100" t="e">
        <f t="shared" si="9"/>
        <v>#DIV/0!</v>
      </c>
      <c r="H307" s="100"/>
    </row>
    <row r="308" spans="2:8" x14ac:dyDescent="0.25">
      <c r="B308" s="99"/>
      <c r="C308" s="99"/>
      <c r="D308" s="103"/>
      <c r="E308" s="100" t="e">
        <f t="shared" si="8"/>
        <v>#DIV/0!</v>
      </c>
      <c r="F308" s="103"/>
      <c r="G308" s="100" t="e">
        <f t="shared" si="9"/>
        <v>#DIV/0!</v>
      </c>
      <c r="H308" s="100"/>
    </row>
    <row r="309" spans="2:8" x14ac:dyDescent="0.25">
      <c r="B309" s="99"/>
      <c r="C309" s="99"/>
      <c r="D309" s="103"/>
      <c r="E309" s="100" t="e">
        <f t="shared" si="8"/>
        <v>#DIV/0!</v>
      </c>
      <c r="F309" s="103"/>
      <c r="G309" s="100" t="e">
        <f t="shared" si="9"/>
        <v>#DIV/0!</v>
      </c>
      <c r="H309" s="100"/>
    </row>
    <row r="310" spans="2:8" x14ac:dyDescent="0.25">
      <c r="B310" s="99"/>
      <c r="C310" s="99"/>
      <c r="D310" s="103"/>
      <c r="E310" s="100" t="e">
        <f t="shared" si="8"/>
        <v>#DIV/0!</v>
      </c>
      <c r="F310" s="103"/>
      <c r="G310" s="100" t="e">
        <f t="shared" si="9"/>
        <v>#DIV/0!</v>
      </c>
      <c r="H310" s="100"/>
    </row>
    <row r="311" spans="2:8" x14ac:dyDescent="0.25">
      <c r="B311" s="99"/>
      <c r="C311" s="99"/>
      <c r="D311" s="103"/>
      <c r="E311" s="100" t="e">
        <f t="shared" si="8"/>
        <v>#DIV/0!</v>
      </c>
      <c r="F311" s="103"/>
      <c r="G311" s="100" t="e">
        <f t="shared" si="9"/>
        <v>#DIV/0!</v>
      </c>
      <c r="H311" s="100"/>
    </row>
    <row r="312" spans="2:8" x14ac:dyDescent="0.25">
      <c r="B312" s="99"/>
      <c r="C312" s="99"/>
      <c r="D312" s="103"/>
      <c r="E312" s="100" t="e">
        <f t="shared" si="8"/>
        <v>#DIV/0!</v>
      </c>
      <c r="F312" s="103"/>
      <c r="G312" s="100" t="e">
        <f t="shared" si="9"/>
        <v>#DIV/0!</v>
      </c>
      <c r="H312" s="100"/>
    </row>
    <row r="313" spans="2:8" x14ac:dyDescent="0.25">
      <c r="B313" s="99"/>
      <c r="C313" s="99"/>
      <c r="D313" s="103"/>
      <c r="E313" s="100" t="e">
        <f t="shared" si="8"/>
        <v>#DIV/0!</v>
      </c>
      <c r="F313" s="103"/>
      <c r="G313" s="100" t="e">
        <f t="shared" si="9"/>
        <v>#DIV/0!</v>
      </c>
      <c r="H313" s="100"/>
    </row>
    <row r="314" spans="2:8" x14ac:dyDescent="0.25">
      <c r="B314" s="99"/>
      <c r="C314" s="99"/>
      <c r="D314" s="103"/>
      <c r="E314" s="100" t="e">
        <f t="shared" si="8"/>
        <v>#DIV/0!</v>
      </c>
      <c r="F314" s="103"/>
      <c r="G314" s="100" t="e">
        <f t="shared" si="9"/>
        <v>#DIV/0!</v>
      </c>
      <c r="H314" s="100"/>
    </row>
    <row r="315" spans="2:8" x14ac:dyDescent="0.25">
      <c r="B315" s="99"/>
      <c r="C315" s="99"/>
      <c r="D315" s="103"/>
      <c r="E315" s="100" t="e">
        <f t="shared" si="8"/>
        <v>#DIV/0!</v>
      </c>
      <c r="F315" s="103"/>
      <c r="G315" s="100" t="e">
        <f t="shared" si="9"/>
        <v>#DIV/0!</v>
      </c>
      <c r="H315" s="100"/>
    </row>
    <row r="316" spans="2:8" x14ac:dyDescent="0.25">
      <c r="B316" s="99"/>
      <c r="C316" s="99"/>
      <c r="D316" s="103"/>
      <c r="E316" s="100" t="e">
        <f t="shared" si="8"/>
        <v>#DIV/0!</v>
      </c>
      <c r="F316" s="103"/>
      <c r="G316" s="100" t="e">
        <f t="shared" si="9"/>
        <v>#DIV/0!</v>
      </c>
      <c r="H316" s="100"/>
    </row>
    <row r="317" spans="2:8" x14ac:dyDescent="0.25">
      <c r="B317" s="99"/>
      <c r="C317" s="99"/>
      <c r="D317" s="103"/>
      <c r="E317" s="100" t="e">
        <f t="shared" si="8"/>
        <v>#DIV/0!</v>
      </c>
      <c r="F317" s="103"/>
      <c r="G317" s="100" t="e">
        <f t="shared" si="9"/>
        <v>#DIV/0!</v>
      </c>
      <c r="H317" s="100"/>
    </row>
    <row r="318" spans="2:8" x14ac:dyDescent="0.25">
      <c r="B318" s="99"/>
      <c r="C318" s="99"/>
      <c r="D318" s="103"/>
      <c r="E318" s="100" t="e">
        <f t="shared" si="8"/>
        <v>#DIV/0!</v>
      </c>
      <c r="F318" s="103"/>
      <c r="G318" s="100" t="e">
        <f t="shared" si="9"/>
        <v>#DIV/0!</v>
      </c>
      <c r="H318" s="100"/>
    </row>
    <row r="319" spans="2:8" x14ac:dyDescent="0.25">
      <c r="B319" s="99"/>
      <c r="C319" s="99"/>
      <c r="D319" s="103"/>
      <c r="E319" s="100" t="e">
        <f t="shared" si="8"/>
        <v>#DIV/0!</v>
      </c>
      <c r="F319" s="103"/>
      <c r="G319" s="100" t="e">
        <f t="shared" si="9"/>
        <v>#DIV/0!</v>
      </c>
      <c r="H319" s="100"/>
    </row>
    <row r="320" spans="2:8" x14ac:dyDescent="0.25">
      <c r="B320" s="99"/>
      <c r="C320" s="99"/>
      <c r="D320" s="103"/>
      <c r="E320" s="100" t="e">
        <f t="shared" si="8"/>
        <v>#DIV/0!</v>
      </c>
      <c r="F320" s="103"/>
      <c r="G320" s="100" t="e">
        <f t="shared" si="9"/>
        <v>#DIV/0!</v>
      </c>
      <c r="H320" s="100"/>
    </row>
    <row r="321" spans="2:8" x14ac:dyDescent="0.25">
      <c r="B321" s="99"/>
      <c r="C321" s="99"/>
      <c r="D321" s="103"/>
      <c r="E321" s="100" t="e">
        <f t="shared" si="8"/>
        <v>#DIV/0!</v>
      </c>
      <c r="F321" s="103"/>
      <c r="G321" s="100" t="e">
        <f t="shared" si="9"/>
        <v>#DIV/0!</v>
      </c>
      <c r="H321" s="100"/>
    </row>
    <row r="322" spans="2:8" x14ac:dyDescent="0.25">
      <c r="B322" s="99"/>
      <c r="C322" s="99"/>
      <c r="D322" s="103"/>
      <c r="E322" s="100" t="e">
        <f t="shared" si="8"/>
        <v>#DIV/0!</v>
      </c>
      <c r="F322" s="103"/>
      <c r="G322" s="100" t="e">
        <f t="shared" si="9"/>
        <v>#DIV/0!</v>
      </c>
      <c r="H322" s="100"/>
    </row>
    <row r="323" spans="2:8" x14ac:dyDescent="0.25">
      <c r="B323" s="99"/>
      <c r="C323" s="99"/>
      <c r="D323" s="103"/>
      <c r="E323" s="100" t="e">
        <f t="shared" si="8"/>
        <v>#DIV/0!</v>
      </c>
      <c r="F323" s="103"/>
      <c r="G323" s="100" t="e">
        <f t="shared" si="9"/>
        <v>#DIV/0!</v>
      </c>
      <c r="H323" s="100"/>
    </row>
    <row r="324" spans="2:8" x14ac:dyDescent="0.25">
      <c r="B324" s="99"/>
      <c r="C324" s="99"/>
      <c r="D324" s="103"/>
      <c r="E324" s="100" t="e">
        <f t="shared" si="8"/>
        <v>#DIV/0!</v>
      </c>
      <c r="F324" s="103"/>
      <c r="G324" s="100" t="e">
        <f t="shared" si="9"/>
        <v>#DIV/0!</v>
      </c>
      <c r="H324" s="100"/>
    </row>
    <row r="325" spans="2:8" x14ac:dyDescent="0.25">
      <c r="B325" s="99"/>
      <c r="C325" s="99"/>
      <c r="D325" s="103"/>
      <c r="E325" s="100" t="e">
        <f t="shared" si="8"/>
        <v>#DIV/0!</v>
      </c>
      <c r="F325" s="103"/>
      <c r="G325" s="100" t="e">
        <f t="shared" si="9"/>
        <v>#DIV/0!</v>
      </c>
      <c r="H325" s="100"/>
    </row>
    <row r="326" spans="2:8" x14ac:dyDescent="0.25">
      <c r="B326" s="99"/>
      <c r="C326" s="99"/>
      <c r="D326" s="103"/>
      <c r="E326" s="100" t="e">
        <f t="shared" si="8"/>
        <v>#DIV/0!</v>
      </c>
      <c r="F326" s="103"/>
      <c r="G326" s="100" t="e">
        <f t="shared" si="9"/>
        <v>#DIV/0!</v>
      </c>
      <c r="H326" s="100"/>
    </row>
    <row r="327" spans="2:8" x14ac:dyDescent="0.25">
      <c r="B327" s="99"/>
      <c r="C327" s="99"/>
      <c r="D327" s="103"/>
      <c r="E327" s="100" t="e">
        <f t="shared" si="8"/>
        <v>#DIV/0!</v>
      </c>
      <c r="F327" s="103"/>
      <c r="G327" s="100" t="e">
        <f t="shared" si="9"/>
        <v>#DIV/0!</v>
      </c>
      <c r="H327" s="100"/>
    </row>
    <row r="328" spans="2:8" x14ac:dyDescent="0.25">
      <c r="B328" s="99"/>
      <c r="C328" s="99"/>
      <c r="D328" s="103"/>
      <c r="E328" s="100" t="e">
        <f t="shared" si="8"/>
        <v>#DIV/0!</v>
      </c>
      <c r="F328" s="103"/>
      <c r="G328" s="100" t="e">
        <f t="shared" si="9"/>
        <v>#DIV/0!</v>
      </c>
      <c r="H328" s="100"/>
    </row>
    <row r="329" spans="2:8" x14ac:dyDescent="0.25">
      <c r="B329" s="99"/>
      <c r="C329" s="99"/>
      <c r="D329" s="103"/>
      <c r="E329" s="100" t="e">
        <f t="shared" si="8"/>
        <v>#DIV/0!</v>
      </c>
      <c r="F329" s="103"/>
      <c r="G329" s="100" t="e">
        <f t="shared" si="9"/>
        <v>#DIV/0!</v>
      </c>
      <c r="H329" s="100"/>
    </row>
    <row r="330" spans="2:8" x14ac:dyDescent="0.25">
      <c r="B330" s="99"/>
      <c r="C330" s="99"/>
      <c r="D330" s="103"/>
      <c r="E330" s="100" t="e">
        <f t="shared" si="8"/>
        <v>#DIV/0!</v>
      </c>
      <c r="F330" s="103"/>
      <c r="G330" s="100" t="e">
        <f t="shared" si="9"/>
        <v>#DIV/0!</v>
      </c>
      <c r="H330" s="100"/>
    </row>
    <row r="331" spans="2:8" x14ac:dyDescent="0.25">
      <c r="B331" s="99"/>
      <c r="C331" s="99"/>
      <c r="D331" s="103"/>
      <c r="E331" s="100" t="e">
        <f t="shared" ref="E331:E352" si="10">100*(D331-C331)/C331</f>
        <v>#DIV/0!</v>
      </c>
      <c r="F331" s="103"/>
      <c r="G331" s="100" t="e">
        <f t="shared" ref="G331:G352" si="11">100*(F331-C331)/C331</f>
        <v>#DIV/0!</v>
      </c>
      <c r="H331" s="100"/>
    </row>
    <row r="332" spans="2:8" x14ac:dyDescent="0.25">
      <c r="B332" s="99"/>
      <c r="C332" s="99"/>
      <c r="D332" s="103"/>
      <c r="E332" s="100" t="e">
        <f t="shared" si="10"/>
        <v>#DIV/0!</v>
      </c>
      <c r="F332" s="103"/>
      <c r="G332" s="100" t="e">
        <f t="shared" si="11"/>
        <v>#DIV/0!</v>
      </c>
      <c r="H332" s="100"/>
    </row>
    <row r="333" spans="2:8" x14ac:dyDescent="0.25">
      <c r="B333" s="99"/>
      <c r="C333" s="99"/>
      <c r="D333" s="103"/>
      <c r="E333" s="100" t="e">
        <f t="shared" si="10"/>
        <v>#DIV/0!</v>
      </c>
      <c r="F333" s="103"/>
      <c r="G333" s="100" t="e">
        <f t="shared" si="11"/>
        <v>#DIV/0!</v>
      </c>
      <c r="H333" s="100"/>
    </row>
    <row r="334" spans="2:8" x14ac:dyDescent="0.25">
      <c r="B334" s="99"/>
      <c r="C334" s="99"/>
      <c r="D334" s="103"/>
      <c r="E334" s="100" t="e">
        <f t="shared" si="10"/>
        <v>#DIV/0!</v>
      </c>
      <c r="F334" s="103"/>
      <c r="G334" s="100" t="e">
        <f t="shared" si="11"/>
        <v>#DIV/0!</v>
      </c>
      <c r="H334" s="100"/>
    </row>
    <row r="335" spans="2:8" x14ac:dyDescent="0.25">
      <c r="B335" s="99"/>
      <c r="C335" s="99"/>
      <c r="D335" s="103"/>
      <c r="E335" s="100" t="e">
        <f t="shared" si="10"/>
        <v>#DIV/0!</v>
      </c>
      <c r="F335" s="103"/>
      <c r="G335" s="100" t="e">
        <f t="shared" si="11"/>
        <v>#DIV/0!</v>
      </c>
      <c r="H335" s="100"/>
    </row>
    <row r="336" spans="2:8" x14ac:dyDescent="0.25">
      <c r="B336" s="99"/>
      <c r="C336" s="99"/>
      <c r="D336" s="103"/>
      <c r="E336" s="100" t="e">
        <f t="shared" si="10"/>
        <v>#DIV/0!</v>
      </c>
      <c r="F336" s="103"/>
      <c r="G336" s="100" t="e">
        <f t="shared" si="11"/>
        <v>#DIV/0!</v>
      </c>
      <c r="H336" s="100"/>
    </row>
    <row r="337" spans="2:8" x14ac:dyDescent="0.25">
      <c r="B337" s="99"/>
      <c r="C337" s="99"/>
      <c r="D337" s="103"/>
      <c r="E337" s="100" t="e">
        <f t="shared" si="10"/>
        <v>#DIV/0!</v>
      </c>
      <c r="F337" s="103"/>
      <c r="G337" s="100" t="e">
        <f t="shared" si="11"/>
        <v>#DIV/0!</v>
      </c>
      <c r="H337" s="100"/>
    </row>
    <row r="338" spans="2:8" x14ac:dyDescent="0.25">
      <c r="B338" s="99"/>
      <c r="C338" s="99"/>
      <c r="D338" s="103"/>
      <c r="E338" s="100" t="e">
        <f t="shared" si="10"/>
        <v>#DIV/0!</v>
      </c>
      <c r="F338" s="103"/>
      <c r="G338" s="100" t="e">
        <f t="shared" si="11"/>
        <v>#DIV/0!</v>
      </c>
      <c r="H338" s="100"/>
    </row>
    <row r="339" spans="2:8" x14ac:dyDescent="0.25">
      <c r="B339" s="99"/>
      <c r="C339" s="99"/>
      <c r="D339" s="103"/>
      <c r="E339" s="100" t="e">
        <f t="shared" si="10"/>
        <v>#DIV/0!</v>
      </c>
      <c r="F339" s="103"/>
      <c r="G339" s="100" t="e">
        <f t="shared" si="11"/>
        <v>#DIV/0!</v>
      </c>
      <c r="H339" s="100"/>
    </row>
    <row r="340" spans="2:8" x14ac:dyDescent="0.25">
      <c r="B340" s="99"/>
      <c r="C340" s="99"/>
      <c r="D340" s="103"/>
      <c r="E340" s="100" t="e">
        <f t="shared" si="10"/>
        <v>#DIV/0!</v>
      </c>
      <c r="F340" s="103"/>
      <c r="G340" s="100" t="e">
        <f t="shared" si="11"/>
        <v>#DIV/0!</v>
      </c>
      <c r="H340" s="100"/>
    </row>
    <row r="341" spans="2:8" x14ac:dyDescent="0.25">
      <c r="B341" s="99"/>
      <c r="C341" s="99"/>
      <c r="D341" s="103"/>
      <c r="E341" s="100" t="e">
        <f t="shared" si="10"/>
        <v>#DIV/0!</v>
      </c>
      <c r="F341" s="103"/>
      <c r="G341" s="100" t="e">
        <f t="shared" si="11"/>
        <v>#DIV/0!</v>
      </c>
      <c r="H341" s="100"/>
    </row>
    <row r="342" spans="2:8" x14ac:dyDescent="0.25">
      <c r="B342" s="99"/>
      <c r="C342" s="99"/>
      <c r="D342" s="103"/>
      <c r="E342" s="100" t="e">
        <f t="shared" si="10"/>
        <v>#DIV/0!</v>
      </c>
      <c r="F342" s="103"/>
      <c r="G342" s="100" t="e">
        <f t="shared" si="11"/>
        <v>#DIV/0!</v>
      </c>
      <c r="H342" s="100"/>
    </row>
    <row r="343" spans="2:8" x14ac:dyDescent="0.25">
      <c r="B343" s="99"/>
      <c r="C343" s="99"/>
      <c r="D343" s="103"/>
      <c r="E343" s="100" t="e">
        <f t="shared" si="10"/>
        <v>#DIV/0!</v>
      </c>
      <c r="F343" s="103"/>
      <c r="G343" s="100" t="e">
        <f t="shared" si="11"/>
        <v>#DIV/0!</v>
      </c>
      <c r="H343" s="100"/>
    </row>
    <row r="344" spans="2:8" x14ac:dyDescent="0.25">
      <c r="B344" s="99"/>
      <c r="C344" s="99"/>
      <c r="D344" s="103"/>
      <c r="E344" s="100" t="e">
        <f t="shared" si="10"/>
        <v>#DIV/0!</v>
      </c>
      <c r="F344" s="103"/>
      <c r="G344" s="100" t="e">
        <f t="shared" si="11"/>
        <v>#DIV/0!</v>
      </c>
      <c r="H344" s="100"/>
    </row>
    <row r="345" spans="2:8" x14ac:dyDescent="0.25">
      <c r="B345" s="99"/>
      <c r="C345" s="99"/>
      <c r="D345" s="103"/>
      <c r="E345" s="100" t="e">
        <f t="shared" si="10"/>
        <v>#DIV/0!</v>
      </c>
      <c r="F345" s="103"/>
      <c r="G345" s="100" t="e">
        <f t="shared" si="11"/>
        <v>#DIV/0!</v>
      </c>
      <c r="H345" s="100"/>
    </row>
    <row r="346" spans="2:8" x14ac:dyDescent="0.25">
      <c r="B346" s="99"/>
      <c r="C346" s="99"/>
      <c r="D346" s="103"/>
      <c r="E346" s="100" t="e">
        <f t="shared" si="10"/>
        <v>#DIV/0!</v>
      </c>
      <c r="F346" s="103"/>
      <c r="G346" s="100" t="e">
        <f t="shared" si="11"/>
        <v>#DIV/0!</v>
      </c>
      <c r="H346" s="100"/>
    </row>
    <row r="347" spans="2:8" x14ac:dyDescent="0.25">
      <c r="B347" s="99"/>
      <c r="C347" s="99"/>
      <c r="D347" s="103"/>
      <c r="E347" s="100" t="e">
        <f t="shared" si="10"/>
        <v>#DIV/0!</v>
      </c>
      <c r="F347" s="103"/>
      <c r="G347" s="100" t="e">
        <f t="shared" si="11"/>
        <v>#DIV/0!</v>
      </c>
      <c r="H347" s="100"/>
    </row>
    <row r="348" spans="2:8" x14ac:dyDescent="0.25">
      <c r="B348" s="99"/>
      <c r="C348" s="99"/>
      <c r="D348" s="103"/>
      <c r="E348" s="100" t="e">
        <f t="shared" si="10"/>
        <v>#DIV/0!</v>
      </c>
      <c r="F348" s="103"/>
      <c r="G348" s="100" t="e">
        <f t="shared" si="11"/>
        <v>#DIV/0!</v>
      </c>
      <c r="H348" s="100"/>
    </row>
    <row r="349" spans="2:8" x14ac:dyDescent="0.25">
      <c r="B349" s="99"/>
      <c r="C349" s="99"/>
      <c r="D349" s="103"/>
      <c r="E349" s="100" t="e">
        <f t="shared" si="10"/>
        <v>#DIV/0!</v>
      </c>
      <c r="F349" s="103"/>
      <c r="G349" s="100" t="e">
        <f t="shared" si="11"/>
        <v>#DIV/0!</v>
      </c>
      <c r="H349" s="100"/>
    </row>
    <row r="350" spans="2:8" x14ac:dyDescent="0.25">
      <c r="B350" s="99"/>
      <c r="C350" s="99"/>
      <c r="D350" s="103"/>
      <c r="E350" s="100" t="e">
        <f t="shared" si="10"/>
        <v>#DIV/0!</v>
      </c>
      <c r="F350" s="103"/>
      <c r="G350" s="100" t="e">
        <f t="shared" si="11"/>
        <v>#DIV/0!</v>
      </c>
      <c r="H350" s="100"/>
    </row>
    <row r="351" spans="2:8" x14ac:dyDescent="0.25">
      <c r="B351" s="99"/>
      <c r="C351" s="99"/>
      <c r="D351" s="103"/>
      <c r="E351" s="100" t="e">
        <f t="shared" si="10"/>
        <v>#DIV/0!</v>
      </c>
      <c r="F351" s="103"/>
      <c r="G351" s="100" t="e">
        <f t="shared" si="11"/>
        <v>#DIV/0!</v>
      </c>
      <c r="H351" s="100"/>
    </row>
    <row r="352" spans="2:8" x14ac:dyDescent="0.25">
      <c r="B352" s="99"/>
      <c r="C352" s="99"/>
      <c r="D352" s="103"/>
      <c r="E352" s="100" t="e">
        <f t="shared" si="10"/>
        <v>#DIV/0!</v>
      </c>
      <c r="F352" s="103"/>
      <c r="G352" s="100" t="e">
        <f t="shared" si="11"/>
        <v>#DIV/0!</v>
      </c>
      <c r="H352" s="100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14EC5-7E99-4B0A-AFAE-E1AE96C4C6C8}">
  <dimension ref="A1:J260"/>
  <sheetViews>
    <sheetView workbookViewId="0"/>
  </sheetViews>
  <sheetFormatPr defaultRowHeight="15.75" x14ac:dyDescent="0.25"/>
  <cols>
    <col min="1" max="1" width="23.75" style="105" customWidth="1"/>
    <col min="2" max="2" width="13.625" style="105" bestFit="1" customWidth="1"/>
    <col min="3" max="3" width="21.375" style="105" bestFit="1" customWidth="1"/>
    <col min="4" max="4" width="18.125" style="105" bestFit="1" customWidth="1"/>
    <col min="5" max="5" width="16.375" style="95" bestFit="1" customWidth="1"/>
    <col min="6" max="6" width="16.875" style="95" bestFit="1" customWidth="1"/>
    <col min="7" max="7" width="12.375" style="95" bestFit="1" customWidth="1"/>
    <col min="8" max="8" width="9" style="95"/>
    <col min="9" max="9" width="32" style="95" customWidth="1"/>
    <col min="10" max="16384" width="9" style="95"/>
  </cols>
  <sheetData>
    <row r="1" spans="1:10" x14ac:dyDescent="0.25">
      <c r="I1" s="106" t="s">
        <v>624</v>
      </c>
    </row>
    <row r="2" spans="1:10" ht="93.75" customHeight="1" thickBot="1" x14ac:dyDescent="0.3">
      <c r="I2" s="107"/>
    </row>
    <row r="3" spans="1:10" ht="16.5" thickBot="1" x14ac:dyDescent="0.3">
      <c r="A3" s="105" t="s">
        <v>625</v>
      </c>
    </row>
    <row r="4" spans="1:10" ht="16.5" thickBot="1" x14ac:dyDescent="0.3">
      <c r="A4" s="105" t="s">
        <v>626</v>
      </c>
      <c r="I4" s="108" t="s">
        <v>627</v>
      </c>
      <c r="J4" s="109"/>
    </row>
    <row r="5" spans="1:10" x14ac:dyDescent="0.25">
      <c r="A5" s="110" t="s">
        <v>628</v>
      </c>
      <c r="B5" s="111"/>
      <c r="D5" s="105" t="s">
        <v>629</v>
      </c>
    </row>
    <row r="6" spans="1:10" ht="16.5" thickBot="1" x14ac:dyDescent="0.3">
      <c r="A6" s="112" t="s">
        <v>630</v>
      </c>
      <c r="B6" s="113"/>
    </row>
    <row r="7" spans="1:10" x14ac:dyDescent="0.25">
      <c r="C7" s="110"/>
      <c r="D7" s="114" t="s">
        <v>631</v>
      </c>
      <c r="E7" s="115" t="s">
        <v>632</v>
      </c>
      <c r="F7" s="115" t="s">
        <v>633</v>
      </c>
      <c r="G7" s="116" t="s">
        <v>634</v>
      </c>
    </row>
    <row r="8" spans="1:10" x14ac:dyDescent="0.25">
      <c r="C8" s="117" t="s">
        <v>635</v>
      </c>
      <c r="D8" s="118"/>
      <c r="E8" s="100"/>
      <c r="F8" s="100"/>
      <c r="G8" s="119"/>
    </row>
    <row r="9" spans="1:10" x14ac:dyDescent="0.25">
      <c r="C9" s="117" t="s">
        <v>636</v>
      </c>
      <c r="D9" s="118"/>
      <c r="E9" s="100"/>
      <c r="F9" s="100"/>
      <c r="G9" s="119"/>
    </row>
    <row r="10" spans="1:10" x14ac:dyDescent="0.25">
      <c r="C10" s="117" t="s">
        <v>637</v>
      </c>
      <c r="D10" s="118"/>
      <c r="E10" s="100"/>
      <c r="F10" s="100"/>
      <c r="G10" s="119"/>
    </row>
    <row r="11" spans="1:10" x14ac:dyDescent="0.25">
      <c r="C11" s="117" t="s">
        <v>634</v>
      </c>
      <c r="D11" s="118"/>
      <c r="E11" s="100"/>
      <c r="F11" s="100"/>
      <c r="G11" s="119"/>
    </row>
    <row r="12" spans="1:10" x14ac:dyDescent="0.25">
      <c r="C12" s="120"/>
      <c r="D12" s="121" t="s">
        <v>631</v>
      </c>
      <c r="E12" s="122" t="s">
        <v>632</v>
      </c>
      <c r="F12" s="122" t="s">
        <v>633</v>
      </c>
      <c r="G12" s="123" t="s">
        <v>634</v>
      </c>
    </row>
    <row r="13" spans="1:10" x14ac:dyDescent="0.25">
      <c r="C13" s="117" t="s">
        <v>638</v>
      </c>
      <c r="D13" s="118"/>
      <c r="E13" s="100"/>
      <c r="F13" s="100"/>
      <c r="G13" s="119"/>
    </row>
    <row r="14" spans="1:10" x14ac:dyDescent="0.25">
      <c r="C14" s="117" t="s">
        <v>636</v>
      </c>
      <c r="D14" s="118"/>
      <c r="E14" s="100"/>
      <c r="F14" s="100"/>
      <c r="G14" s="119"/>
    </row>
    <row r="15" spans="1:10" x14ac:dyDescent="0.25">
      <c r="C15" s="117" t="s">
        <v>637</v>
      </c>
      <c r="D15" s="118"/>
      <c r="E15" s="100"/>
      <c r="F15" s="100"/>
      <c r="G15" s="119"/>
    </row>
    <row r="16" spans="1:10" x14ac:dyDescent="0.25">
      <c r="C16" s="117" t="s">
        <v>634</v>
      </c>
      <c r="D16" s="118"/>
      <c r="E16" s="100"/>
      <c r="F16" s="100"/>
      <c r="G16" s="119"/>
    </row>
    <row r="17" spans="1:7" x14ac:dyDescent="0.25">
      <c r="C17" s="120"/>
      <c r="D17" s="121" t="s">
        <v>631</v>
      </c>
      <c r="E17" s="122" t="s">
        <v>632</v>
      </c>
      <c r="F17" s="122" t="s">
        <v>633</v>
      </c>
      <c r="G17" s="123" t="s">
        <v>634</v>
      </c>
    </row>
    <row r="18" spans="1:7" x14ac:dyDescent="0.25">
      <c r="C18" s="117" t="s">
        <v>639</v>
      </c>
      <c r="D18" s="118"/>
      <c r="E18" s="100"/>
      <c r="F18" s="100"/>
      <c r="G18" s="119"/>
    </row>
    <row r="19" spans="1:7" x14ac:dyDescent="0.25">
      <c r="C19" s="117" t="s">
        <v>636</v>
      </c>
      <c r="D19" s="118"/>
      <c r="E19" s="100"/>
      <c r="F19" s="100"/>
      <c r="G19" s="119"/>
    </row>
    <row r="20" spans="1:7" x14ac:dyDescent="0.25">
      <c r="C20" s="117" t="s">
        <v>637</v>
      </c>
      <c r="D20" s="118"/>
      <c r="E20" s="100"/>
      <c r="F20" s="100"/>
      <c r="G20" s="119"/>
    </row>
    <row r="21" spans="1:7" x14ac:dyDescent="0.25">
      <c r="C21" s="117" t="s">
        <v>634</v>
      </c>
      <c r="D21" s="118"/>
      <c r="E21" s="100"/>
      <c r="F21" s="100"/>
      <c r="G21" s="119"/>
    </row>
    <row r="22" spans="1:7" ht="16.5" thickBot="1" x14ac:dyDescent="0.3">
      <c r="C22" s="112" t="s">
        <v>634</v>
      </c>
      <c r="D22" s="124"/>
      <c r="E22" s="125"/>
      <c r="F22" s="125"/>
      <c r="G22" s="126"/>
    </row>
    <row r="23" spans="1:7" x14ac:dyDescent="0.25">
      <c r="C23" s="127"/>
      <c r="D23" s="127"/>
      <c r="E23" s="128"/>
      <c r="F23" s="128"/>
      <c r="G23" s="128"/>
    </row>
    <row r="24" spans="1:7" x14ac:dyDescent="0.25">
      <c r="C24" s="127"/>
      <c r="D24" s="127"/>
      <c r="E24" s="128"/>
      <c r="F24" s="128"/>
      <c r="G24" s="128"/>
    </row>
    <row r="27" spans="1:7" x14ac:dyDescent="0.25">
      <c r="A27" s="105" t="s">
        <v>640</v>
      </c>
    </row>
    <row r="28" spans="1:7" x14ac:dyDescent="0.25">
      <c r="B28" s="105" t="s">
        <v>641</v>
      </c>
      <c r="C28" s="129" t="s">
        <v>642</v>
      </c>
    </row>
    <row r="29" spans="1:7" x14ac:dyDescent="0.25">
      <c r="B29" s="105" t="s">
        <v>643</v>
      </c>
      <c r="C29" s="129" t="s">
        <v>644</v>
      </c>
      <c r="D29" s="105" t="s">
        <v>645</v>
      </c>
    </row>
    <row r="30" spans="1:7" x14ac:dyDescent="0.25">
      <c r="B30" s="105" t="s">
        <v>646</v>
      </c>
      <c r="C30" s="129" t="s">
        <v>647</v>
      </c>
      <c r="D30" s="105" t="s">
        <v>648</v>
      </c>
    </row>
    <row r="31" spans="1:7" x14ac:dyDescent="0.25">
      <c r="B31" s="105" t="s">
        <v>649</v>
      </c>
      <c r="C31" s="130">
        <f>COUNTA(A43:A260)</f>
        <v>7</v>
      </c>
      <c r="D31" s="105" t="s">
        <v>650</v>
      </c>
    </row>
    <row r="32" spans="1:7" x14ac:dyDescent="0.25">
      <c r="B32" s="105" t="s">
        <v>651</v>
      </c>
      <c r="C32" s="130">
        <f>COUNTA(B43:B260)</f>
        <v>9</v>
      </c>
      <c r="D32" s="105" t="s">
        <v>652</v>
      </c>
    </row>
    <row r="33" spans="1:10" x14ac:dyDescent="0.25">
      <c r="B33" s="105" t="s">
        <v>653</v>
      </c>
      <c r="C33" s="130">
        <f>COUNTA(C43:C260)</f>
        <v>3</v>
      </c>
    </row>
    <row r="34" spans="1:10" x14ac:dyDescent="0.25">
      <c r="B34" s="105" t="s">
        <v>654</v>
      </c>
      <c r="C34" s="129" t="s">
        <v>655</v>
      </c>
      <c r="D34" s="105" t="s">
        <v>656</v>
      </c>
    </row>
    <row r="35" spans="1:10" x14ac:dyDescent="0.25">
      <c r="B35" s="105" t="s">
        <v>657</v>
      </c>
      <c r="C35" s="129" t="s">
        <v>658</v>
      </c>
      <c r="D35" s="105" t="s">
        <v>700</v>
      </c>
    </row>
    <row r="36" spans="1:10" x14ac:dyDescent="0.25">
      <c r="B36" s="105" t="s">
        <v>659</v>
      </c>
      <c r="C36" s="131" t="s">
        <v>41</v>
      </c>
      <c r="D36" s="105" t="s">
        <v>660</v>
      </c>
    </row>
    <row r="37" spans="1:10" x14ac:dyDescent="0.25">
      <c r="B37" s="105" t="s">
        <v>661</v>
      </c>
      <c r="C37" s="132"/>
      <c r="D37" s="105" t="s">
        <v>662</v>
      </c>
    </row>
    <row r="38" spans="1:10" x14ac:dyDescent="0.25">
      <c r="B38" s="105" t="s">
        <v>663</v>
      </c>
      <c r="C38" s="133"/>
      <c r="D38" s="105" t="s">
        <v>664</v>
      </c>
    </row>
    <row r="41" spans="1:10" x14ac:dyDescent="0.25">
      <c r="A41" s="118" t="s">
        <v>665</v>
      </c>
      <c r="B41" s="118" t="s">
        <v>666</v>
      </c>
      <c r="C41" s="118" t="s">
        <v>667</v>
      </c>
      <c r="D41" s="118" t="s">
        <v>681</v>
      </c>
      <c r="E41" s="100" t="s">
        <v>682</v>
      </c>
      <c r="F41" s="100" t="s">
        <v>683</v>
      </c>
      <c r="G41" s="100" t="s">
        <v>684</v>
      </c>
      <c r="H41" s="100" t="s">
        <v>685</v>
      </c>
      <c r="I41" s="100" t="s">
        <v>686</v>
      </c>
      <c r="J41" s="95" t="s">
        <v>687</v>
      </c>
    </row>
    <row r="42" spans="1:10" x14ac:dyDescent="0.25">
      <c r="A42" s="118" t="s">
        <v>668</v>
      </c>
      <c r="B42" s="118" t="s">
        <v>669</v>
      </c>
      <c r="C42" s="118" t="s">
        <v>670</v>
      </c>
      <c r="D42" s="118" t="s">
        <v>688</v>
      </c>
      <c r="E42" s="100" t="s">
        <v>696</v>
      </c>
      <c r="F42" s="100" t="s">
        <v>697</v>
      </c>
      <c r="G42" s="100" t="s">
        <v>698</v>
      </c>
      <c r="H42" s="100" t="s">
        <v>699</v>
      </c>
      <c r="I42" s="100"/>
    </row>
    <row r="43" spans="1:10" x14ac:dyDescent="0.25">
      <c r="A43" s="134" t="s">
        <v>671</v>
      </c>
      <c r="B43" s="134" t="s">
        <v>689</v>
      </c>
      <c r="C43" s="134" t="s">
        <v>672</v>
      </c>
      <c r="D43" s="134"/>
      <c r="E43" s="99"/>
      <c r="F43" s="99"/>
      <c r="G43" s="99"/>
      <c r="H43" s="99"/>
      <c r="I43" s="99"/>
    </row>
    <row r="44" spans="1:10" x14ac:dyDescent="0.25">
      <c r="A44" s="134" t="s">
        <v>673</v>
      </c>
      <c r="B44" s="134" t="s">
        <v>690</v>
      </c>
      <c r="C44" s="134" t="s">
        <v>674</v>
      </c>
      <c r="D44" s="134"/>
      <c r="E44" s="99"/>
      <c r="F44" s="99"/>
      <c r="G44" s="99"/>
      <c r="H44" s="99"/>
      <c r="I44" s="99"/>
    </row>
    <row r="45" spans="1:10" x14ac:dyDescent="0.25">
      <c r="A45" s="134" t="s">
        <v>675</v>
      </c>
      <c r="B45" s="134" t="s">
        <v>679</v>
      </c>
      <c r="C45" s="134" t="s">
        <v>676</v>
      </c>
      <c r="D45" s="134"/>
      <c r="E45" s="99"/>
      <c r="F45" s="99"/>
      <c r="G45" s="99"/>
      <c r="H45" s="99"/>
      <c r="I45" s="99"/>
    </row>
    <row r="46" spans="1:10" x14ac:dyDescent="0.25">
      <c r="A46" s="134" t="s">
        <v>677</v>
      </c>
      <c r="B46" s="134" t="s">
        <v>139</v>
      </c>
      <c r="C46" s="134"/>
      <c r="D46" s="134"/>
      <c r="E46" s="99"/>
      <c r="F46" s="99"/>
      <c r="G46" s="99"/>
      <c r="H46" s="99"/>
      <c r="I46" s="99"/>
    </row>
    <row r="47" spans="1:10" x14ac:dyDescent="0.25">
      <c r="A47" s="134" t="s">
        <v>678</v>
      </c>
      <c r="B47" s="134" t="s">
        <v>691</v>
      </c>
      <c r="C47" s="134"/>
      <c r="D47" s="134"/>
      <c r="E47" s="99"/>
      <c r="F47" s="99"/>
      <c r="G47" s="99"/>
      <c r="H47" s="99"/>
      <c r="I47" s="99"/>
    </row>
    <row r="48" spans="1:10" x14ac:dyDescent="0.25">
      <c r="A48" s="134" t="s">
        <v>679</v>
      </c>
      <c r="B48" s="134" t="s">
        <v>692</v>
      </c>
      <c r="C48" s="134"/>
      <c r="D48" s="134"/>
      <c r="E48" s="99"/>
      <c r="F48" s="99"/>
      <c r="G48" s="99"/>
      <c r="H48" s="99"/>
      <c r="I48" s="99"/>
    </row>
    <row r="49" spans="1:9" x14ac:dyDescent="0.25">
      <c r="A49" s="134" t="s">
        <v>680</v>
      </c>
      <c r="B49" s="134" t="s">
        <v>693</v>
      </c>
      <c r="C49" s="134"/>
      <c r="D49" s="134"/>
      <c r="E49" s="99"/>
      <c r="F49" s="99"/>
      <c r="G49" s="99"/>
      <c r="H49" s="99"/>
      <c r="I49" s="99"/>
    </row>
    <row r="50" spans="1:9" x14ac:dyDescent="0.25">
      <c r="A50" s="134"/>
      <c r="B50" s="134" t="s">
        <v>694</v>
      </c>
      <c r="C50" s="134"/>
      <c r="D50" s="134"/>
      <c r="E50" s="99"/>
      <c r="F50" s="99"/>
      <c r="G50" s="99"/>
      <c r="H50" s="99"/>
      <c r="I50" s="99"/>
    </row>
    <row r="51" spans="1:9" x14ac:dyDescent="0.25">
      <c r="A51" s="134"/>
      <c r="B51" s="134" t="s">
        <v>695</v>
      </c>
      <c r="C51" s="134"/>
      <c r="D51" s="134"/>
      <c r="E51" s="99"/>
      <c r="F51" s="99"/>
      <c r="G51" s="99"/>
      <c r="H51" s="99"/>
      <c r="I51" s="99"/>
    </row>
    <row r="52" spans="1:9" x14ac:dyDescent="0.25">
      <c r="A52" s="134"/>
      <c r="B52" s="134"/>
      <c r="C52" s="134"/>
      <c r="D52" s="134"/>
      <c r="E52" s="99"/>
      <c r="F52" s="99"/>
      <c r="G52" s="99"/>
      <c r="H52" s="99"/>
      <c r="I52" s="99"/>
    </row>
    <row r="53" spans="1:9" x14ac:dyDescent="0.25">
      <c r="A53" s="134"/>
      <c r="B53" s="134"/>
      <c r="C53" s="134"/>
      <c r="D53" s="134"/>
      <c r="E53" s="99"/>
      <c r="F53" s="99"/>
      <c r="G53" s="99"/>
      <c r="H53" s="99"/>
      <c r="I53" s="99"/>
    </row>
    <row r="54" spans="1:9" x14ac:dyDescent="0.25">
      <c r="A54" s="134"/>
      <c r="B54" s="134"/>
      <c r="C54" s="134"/>
      <c r="D54" s="134"/>
      <c r="E54" s="99"/>
      <c r="F54" s="99"/>
      <c r="G54" s="99"/>
      <c r="H54" s="99"/>
      <c r="I54" s="99"/>
    </row>
    <row r="55" spans="1:9" x14ac:dyDescent="0.25">
      <c r="A55" s="134"/>
      <c r="B55" s="134"/>
      <c r="C55" s="134"/>
      <c r="D55" s="134"/>
      <c r="E55" s="99"/>
      <c r="F55" s="99"/>
      <c r="G55" s="99"/>
      <c r="H55" s="99"/>
      <c r="I55" s="99"/>
    </row>
    <row r="56" spans="1:9" x14ac:dyDescent="0.25">
      <c r="A56" s="134"/>
      <c r="B56" s="134"/>
      <c r="C56" s="134"/>
      <c r="D56" s="134"/>
      <c r="E56" s="99"/>
      <c r="F56" s="99"/>
      <c r="G56" s="99"/>
      <c r="H56" s="99"/>
      <c r="I56" s="99"/>
    </row>
    <row r="57" spans="1:9" x14ac:dyDescent="0.25">
      <c r="A57" s="134"/>
      <c r="B57" s="134"/>
      <c r="C57" s="134"/>
      <c r="D57" s="134"/>
      <c r="E57" s="99"/>
      <c r="F57" s="99"/>
      <c r="G57" s="99"/>
      <c r="H57" s="99"/>
      <c r="I57" s="99"/>
    </row>
    <row r="58" spans="1:9" x14ac:dyDescent="0.25">
      <c r="A58" s="134"/>
      <c r="B58" s="134"/>
      <c r="C58" s="134"/>
      <c r="D58" s="134"/>
      <c r="E58" s="99"/>
      <c r="F58" s="99"/>
      <c r="G58" s="99"/>
      <c r="H58" s="99"/>
      <c r="I58" s="99"/>
    </row>
    <row r="59" spans="1:9" x14ac:dyDescent="0.25">
      <c r="A59" s="134"/>
      <c r="B59" s="134"/>
      <c r="C59" s="134"/>
      <c r="D59" s="134"/>
      <c r="E59" s="99"/>
      <c r="F59" s="99"/>
      <c r="G59" s="99"/>
      <c r="H59" s="99"/>
      <c r="I59" s="99"/>
    </row>
    <row r="60" spans="1:9" x14ac:dyDescent="0.25">
      <c r="A60" s="134"/>
      <c r="B60" s="134"/>
      <c r="C60" s="134"/>
      <c r="D60" s="134"/>
      <c r="E60" s="99"/>
      <c r="F60" s="99"/>
      <c r="G60" s="99"/>
      <c r="H60" s="99"/>
      <c r="I60" s="99"/>
    </row>
    <row r="61" spans="1:9" x14ac:dyDescent="0.25">
      <c r="A61" s="134"/>
      <c r="B61" s="134"/>
      <c r="C61" s="134"/>
      <c r="D61" s="134"/>
      <c r="E61" s="99"/>
      <c r="F61" s="99"/>
      <c r="G61" s="99"/>
      <c r="H61" s="99"/>
      <c r="I61" s="99"/>
    </row>
    <row r="62" spans="1:9" x14ac:dyDescent="0.25">
      <c r="A62" s="134"/>
      <c r="B62" s="134"/>
      <c r="C62" s="134"/>
      <c r="D62" s="134"/>
      <c r="E62" s="99"/>
      <c r="F62" s="99"/>
      <c r="G62" s="99"/>
      <c r="H62" s="99"/>
      <c r="I62" s="99"/>
    </row>
    <row r="63" spans="1:9" x14ac:dyDescent="0.25">
      <c r="A63" s="134"/>
      <c r="B63" s="134"/>
      <c r="C63" s="134"/>
      <c r="D63" s="134"/>
      <c r="E63" s="99"/>
      <c r="F63" s="99"/>
      <c r="G63" s="99"/>
      <c r="H63" s="99"/>
      <c r="I63" s="99"/>
    </row>
    <row r="64" spans="1:9" x14ac:dyDescent="0.25">
      <c r="A64" s="134"/>
      <c r="B64" s="134"/>
      <c r="C64" s="134"/>
      <c r="D64" s="134"/>
      <c r="E64" s="99"/>
      <c r="F64" s="99"/>
      <c r="G64" s="99"/>
      <c r="H64" s="99"/>
      <c r="I64" s="99"/>
    </row>
    <row r="65" spans="1:9" x14ac:dyDescent="0.25">
      <c r="A65" s="134"/>
      <c r="B65" s="134"/>
      <c r="C65" s="134"/>
      <c r="D65" s="134"/>
      <c r="E65" s="99"/>
      <c r="F65" s="99"/>
      <c r="G65" s="99"/>
      <c r="H65" s="99"/>
      <c r="I65" s="99"/>
    </row>
    <row r="66" spans="1:9" x14ac:dyDescent="0.25">
      <c r="A66" s="134"/>
      <c r="B66" s="134"/>
      <c r="C66" s="134"/>
      <c r="D66" s="134"/>
      <c r="E66" s="99"/>
      <c r="F66" s="99"/>
      <c r="G66" s="99"/>
      <c r="H66" s="99"/>
      <c r="I66" s="99"/>
    </row>
    <row r="67" spans="1:9" x14ac:dyDescent="0.25">
      <c r="A67" s="134"/>
      <c r="B67" s="134"/>
      <c r="C67" s="134"/>
      <c r="D67" s="134"/>
      <c r="E67" s="99"/>
      <c r="F67" s="99"/>
      <c r="G67" s="99"/>
      <c r="H67" s="99"/>
      <c r="I67" s="99"/>
    </row>
    <row r="68" spans="1:9" x14ac:dyDescent="0.25">
      <c r="A68" s="134"/>
      <c r="B68" s="134"/>
      <c r="C68" s="134"/>
      <c r="D68" s="134"/>
      <c r="E68" s="99"/>
      <c r="F68" s="99"/>
      <c r="G68" s="99"/>
      <c r="H68" s="99"/>
      <c r="I68" s="99"/>
    </row>
    <row r="69" spans="1:9" x14ac:dyDescent="0.25">
      <c r="A69" s="134"/>
      <c r="B69" s="134"/>
      <c r="C69" s="134"/>
      <c r="D69" s="134"/>
      <c r="E69" s="99"/>
      <c r="F69" s="99"/>
      <c r="G69" s="99"/>
      <c r="H69" s="99"/>
      <c r="I69" s="99"/>
    </row>
    <row r="70" spans="1:9" x14ac:dyDescent="0.25">
      <c r="A70" s="134"/>
      <c r="B70" s="134"/>
      <c r="C70" s="134"/>
      <c r="D70" s="134"/>
      <c r="E70" s="99"/>
      <c r="F70" s="99"/>
      <c r="G70" s="99"/>
      <c r="H70" s="99"/>
      <c r="I70" s="99"/>
    </row>
    <row r="71" spans="1:9" x14ac:dyDescent="0.25">
      <c r="A71" s="134"/>
      <c r="B71" s="134"/>
      <c r="C71" s="134"/>
      <c r="D71" s="134"/>
      <c r="E71" s="99"/>
      <c r="F71" s="99"/>
      <c r="G71" s="99"/>
      <c r="H71" s="99"/>
      <c r="I71" s="99"/>
    </row>
    <row r="72" spans="1:9" x14ac:dyDescent="0.25">
      <c r="A72" s="134"/>
      <c r="B72" s="134"/>
      <c r="C72" s="134"/>
      <c r="D72" s="134"/>
      <c r="E72" s="99"/>
      <c r="F72" s="99"/>
      <c r="G72" s="99"/>
      <c r="H72" s="99"/>
      <c r="I72" s="99"/>
    </row>
    <row r="73" spans="1:9" x14ac:dyDescent="0.25">
      <c r="A73" s="134"/>
      <c r="B73" s="134"/>
      <c r="C73" s="134"/>
      <c r="D73" s="134"/>
      <c r="E73" s="99"/>
      <c r="F73" s="99"/>
      <c r="G73" s="99"/>
      <c r="H73" s="99"/>
      <c r="I73" s="99"/>
    </row>
    <row r="74" spans="1:9" x14ac:dyDescent="0.25">
      <c r="A74" s="134"/>
      <c r="B74" s="134"/>
      <c r="C74" s="134"/>
      <c r="D74" s="134"/>
      <c r="E74" s="99"/>
      <c r="F74" s="99"/>
      <c r="G74" s="99"/>
      <c r="H74" s="99"/>
      <c r="I74" s="99"/>
    </row>
    <row r="75" spans="1:9" x14ac:dyDescent="0.25">
      <c r="A75" s="134"/>
      <c r="B75" s="134"/>
      <c r="C75" s="134"/>
      <c r="D75" s="134"/>
      <c r="E75" s="99"/>
      <c r="F75" s="99"/>
      <c r="G75" s="99"/>
      <c r="H75" s="99"/>
      <c r="I75" s="99"/>
    </row>
    <row r="76" spans="1:9" x14ac:dyDescent="0.25">
      <c r="A76" s="134"/>
      <c r="B76" s="134"/>
      <c r="C76" s="134"/>
      <c r="D76" s="134"/>
      <c r="E76" s="99"/>
      <c r="F76" s="99"/>
      <c r="G76" s="99"/>
      <c r="H76" s="99"/>
      <c r="I76" s="99"/>
    </row>
    <row r="77" spans="1:9" x14ac:dyDescent="0.25">
      <c r="A77" s="134"/>
      <c r="B77" s="134"/>
      <c r="C77" s="134"/>
      <c r="D77" s="134"/>
      <c r="E77" s="99"/>
      <c r="F77" s="99"/>
      <c r="G77" s="99"/>
      <c r="H77" s="99"/>
      <c r="I77" s="99"/>
    </row>
    <row r="78" spans="1:9" x14ac:dyDescent="0.25">
      <c r="A78" s="134"/>
      <c r="B78" s="134"/>
      <c r="C78" s="134"/>
      <c r="D78" s="134"/>
      <c r="E78" s="99"/>
      <c r="F78" s="99"/>
      <c r="G78" s="99"/>
      <c r="H78" s="99"/>
      <c r="I78" s="99"/>
    </row>
    <row r="79" spans="1:9" x14ac:dyDescent="0.25">
      <c r="A79" s="134"/>
      <c r="B79" s="134"/>
      <c r="C79" s="134"/>
      <c r="D79" s="134"/>
      <c r="E79" s="99"/>
      <c r="F79" s="99"/>
      <c r="G79" s="99"/>
      <c r="H79" s="99"/>
      <c r="I79" s="99"/>
    </row>
    <row r="80" spans="1:9" x14ac:dyDescent="0.25">
      <c r="A80" s="134"/>
      <c r="B80" s="134"/>
      <c r="C80" s="134"/>
      <c r="D80" s="134"/>
      <c r="E80" s="99"/>
      <c r="F80" s="99"/>
      <c r="G80" s="99"/>
      <c r="H80" s="99"/>
      <c r="I80" s="99"/>
    </row>
    <row r="81" spans="1:9" x14ac:dyDescent="0.25">
      <c r="A81" s="134"/>
      <c r="B81" s="134"/>
      <c r="C81" s="134"/>
      <c r="D81" s="134"/>
      <c r="E81" s="99"/>
      <c r="F81" s="99"/>
      <c r="G81" s="99"/>
      <c r="H81" s="99"/>
      <c r="I81" s="99"/>
    </row>
    <row r="82" spans="1:9" x14ac:dyDescent="0.25">
      <c r="A82" s="134"/>
      <c r="B82" s="134"/>
      <c r="C82" s="134"/>
      <c r="D82" s="134"/>
      <c r="E82" s="99"/>
      <c r="F82" s="99"/>
      <c r="G82" s="99"/>
      <c r="H82" s="99"/>
      <c r="I82" s="99"/>
    </row>
    <row r="83" spans="1:9" x14ac:dyDescent="0.25">
      <c r="A83" s="134"/>
      <c r="B83" s="134"/>
      <c r="C83" s="134"/>
      <c r="D83" s="134"/>
      <c r="E83" s="99"/>
      <c r="F83" s="99"/>
      <c r="G83" s="99"/>
      <c r="H83" s="99"/>
      <c r="I83" s="99"/>
    </row>
    <row r="84" spans="1:9" x14ac:dyDescent="0.25">
      <c r="A84" s="134"/>
      <c r="B84" s="134"/>
      <c r="C84" s="134"/>
      <c r="D84" s="134"/>
      <c r="E84" s="99"/>
      <c r="F84" s="99"/>
      <c r="G84" s="99"/>
      <c r="H84" s="99"/>
      <c r="I84" s="99"/>
    </row>
    <row r="85" spans="1:9" x14ac:dyDescent="0.25">
      <c r="A85" s="134"/>
      <c r="B85" s="134"/>
      <c r="C85" s="134"/>
      <c r="D85" s="134"/>
      <c r="E85" s="99"/>
      <c r="F85" s="99"/>
      <c r="G85" s="99"/>
      <c r="H85" s="99"/>
      <c r="I85" s="99"/>
    </row>
    <row r="86" spans="1:9" x14ac:dyDescent="0.25">
      <c r="A86" s="134"/>
      <c r="B86" s="134"/>
      <c r="C86" s="134"/>
      <c r="D86" s="134"/>
      <c r="E86" s="99"/>
      <c r="F86" s="99"/>
      <c r="G86" s="99"/>
      <c r="H86" s="99"/>
      <c r="I86" s="99"/>
    </row>
    <row r="87" spans="1:9" x14ac:dyDescent="0.25">
      <c r="A87" s="134"/>
      <c r="B87" s="134"/>
      <c r="C87" s="134"/>
      <c r="D87" s="134"/>
      <c r="E87" s="99"/>
      <c r="F87" s="99"/>
      <c r="G87" s="99"/>
      <c r="H87" s="99"/>
      <c r="I87" s="99"/>
    </row>
    <row r="88" spans="1:9" x14ac:dyDescent="0.25">
      <c r="A88" s="134"/>
      <c r="B88" s="134"/>
      <c r="C88" s="134"/>
      <c r="D88" s="134"/>
      <c r="E88" s="99"/>
      <c r="F88" s="99"/>
      <c r="G88" s="99"/>
      <c r="H88" s="99"/>
      <c r="I88" s="99"/>
    </row>
    <row r="89" spans="1:9" x14ac:dyDescent="0.25">
      <c r="A89" s="134"/>
      <c r="B89" s="134"/>
      <c r="C89" s="134"/>
      <c r="D89" s="134"/>
      <c r="E89" s="99"/>
      <c r="F89" s="99"/>
      <c r="G89" s="99"/>
      <c r="H89" s="99"/>
      <c r="I89" s="99"/>
    </row>
    <row r="90" spans="1:9" x14ac:dyDescent="0.25">
      <c r="A90" s="134"/>
      <c r="B90" s="134"/>
      <c r="C90" s="134"/>
      <c r="D90" s="134"/>
      <c r="E90" s="99"/>
      <c r="F90" s="99"/>
      <c r="G90" s="99"/>
      <c r="H90" s="99"/>
      <c r="I90" s="99"/>
    </row>
    <row r="91" spans="1:9" x14ac:dyDescent="0.25">
      <c r="A91" s="134"/>
      <c r="B91" s="134"/>
      <c r="C91" s="134"/>
      <c r="D91" s="134"/>
      <c r="E91" s="99"/>
      <c r="F91" s="99"/>
      <c r="G91" s="99"/>
      <c r="H91" s="99"/>
      <c r="I91" s="99"/>
    </row>
    <row r="92" spans="1:9" x14ac:dyDescent="0.25">
      <c r="A92" s="134"/>
      <c r="B92" s="134"/>
      <c r="C92" s="134"/>
      <c r="D92" s="134"/>
      <c r="E92" s="99"/>
      <c r="F92" s="99"/>
      <c r="G92" s="99"/>
      <c r="H92" s="99"/>
      <c r="I92" s="99"/>
    </row>
    <row r="93" spans="1:9" x14ac:dyDescent="0.25">
      <c r="A93" s="134"/>
      <c r="B93" s="134"/>
      <c r="C93" s="134"/>
      <c r="D93" s="134"/>
      <c r="E93" s="99"/>
      <c r="F93" s="99"/>
      <c r="G93" s="99"/>
      <c r="H93" s="99"/>
      <c r="I93" s="99"/>
    </row>
    <row r="94" spans="1:9" x14ac:dyDescent="0.25">
      <c r="A94" s="134"/>
      <c r="B94" s="134"/>
      <c r="C94" s="134"/>
      <c r="D94" s="134"/>
      <c r="E94" s="99"/>
      <c r="F94" s="99"/>
      <c r="G94" s="99"/>
      <c r="H94" s="99"/>
      <c r="I94" s="99"/>
    </row>
    <row r="95" spans="1:9" x14ac:dyDescent="0.25">
      <c r="A95" s="134"/>
      <c r="B95" s="134"/>
      <c r="C95" s="134"/>
      <c r="D95" s="134"/>
      <c r="E95" s="99"/>
      <c r="F95" s="99"/>
      <c r="G95" s="99"/>
      <c r="H95" s="99"/>
      <c r="I95" s="99"/>
    </row>
    <row r="96" spans="1:9" x14ac:dyDescent="0.25">
      <c r="A96" s="134"/>
      <c r="B96" s="134"/>
      <c r="C96" s="134"/>
      <c r="D96" s="134"/>
      <c r="E96" s="99"/>
      <c r="F96" s="99"/>
      <c r="G96" s="99"/>
      <c r="H96" s="99"/>
      <c r="I96" s="99"/>
    </row>
    <row r="97" spans="1:9" x14ac:dyDescent="0.25">
      <c r="A97" s="134"/>
      <c r="B97" s="134"/>
      <c r="C97" s="134"/>
      <c r="D97" s="134"/>
      <c r="E97" s="99"/>
      <c r="F97" s="99"/>
      <c r="G97" s="99"/>
      <c r="H97" s="99"/>
      <c r="I97" s="99"/>
    </row>
    <row r="98" spans="1:9" x14ac:dyDescent="0.25">
      <c r="A98" s="134"/>
      <c r="B98" s="134"/>
      <c r="C98" s="134"/>
      <c r="D98" s="134"/>
      <c r="E98" s="99"/>
      <c r="F98" s="99"/>
      <c r="G98" s="99"/>
      <c r="H98" s="99"/>
      <c r="I98" s="99"/>
    </row>
    <row r="99" spans="1:9" x14ac:dyDescent="0.25">
      <c r="A99" s="134"/>
      <c r="B99" s="134"/>
      <c r="C99" s="134"/>
      <c r="D99" s="134"/>
      <c r="E99" s="99"/>
      <c r="F99" s="99"/>
      <c r="G99" s="99"/>
      <c r="H99" s="99"/>
      <c r="I99" s="99"/>
    </row>
    <row r="100" spans="1:9" x14ac:dyDescent="0.25">
      <c r="A100" s="134"/>
      <c r="B100" s="134"/>
      <c r="C100" s="134"/>
      <c r="D100" s="134"/>
      <c r="E100" s="99"/>
      <c r="F100" s="99"/>
      <c r="G100" s="99"/>
      <c r="H100" s="99"/>
      <c r="I100" s="99"/>
    </row>
    <row r="101" spans="1:9" x14ac:dyDescent="0.25">
      <c r="A101" s="134"/>
      <c r="B101" s="134"/>
      <c r="C101" s="134"/>
      <c r="D101" s="134"/>
      <c r="E101" s="99"/>
      <c r="F101" s="99"/>
      <c r="G101" s="99"/>
      <c r="H101" s="99"/>
      <c r="I101" s="99"/>
    </row>
    <row r="102" spans="1:9" x14ac:dyDescent="0.25">
      <c r="A102" s="134"/>
      <c r="B102" s="134"/>
      <c r="C102" s="134"/>
      <c r="D102" s="134"/>
      <c r="E102" s="99"/>
      <c r="F102" s="99"/>
      <c r="G102" s="99"/>
      <c r="H102" s="99"/>
      <c r="I102" s="99"/>
    </row>
    <row r="103" spans="1:9" x14ac:dyDescent="0.25">
      <c r="A103" s="134"/>
      <c r="B103" s="134"/>
      <c r="C103" s="134"/>
      <c r="D103" s="134"/>
      <c r="E103" s="99"/>
      <c r="F103" s="99"/>
      <c r="G103" s="99"/>
      <c r="H103" s="99"/>
      <c r="I103" s="99"/>
    </row>
    <row r="104" spans="1:9" x14ac:dyDescent="0.25">
      <c r="A104" s="134"/>
      <c r="B104" s="134"/>
      <c r="C104" s="134"/>
      <c r="D104" s="134"/>
      <c r="E104" s="99"/>
      <c r="F104" s="99"/>
      <c r="G104" s="99"/>
      <c r="H104" s="99"/>
      <c r="I104" s="99"/>
    </row>
    <row r="105" spans="1:9" x14ac:dyDescent="0.25">
      <c r="A105" s="134"/>
      <c r="B105" s="134"/>
      <c r="C105" s="134"/>
      <c r="D105" s="134"/>
      <c r="E105" s="99"/>
      <c r="F105" s="99"/>
      <c r="G105" s="99"/>
      <c r="H105" s="99"/>
      <c r="I105" s="99"/>
    </row>
    <row r="106" spans="1:9" x14ac:dyDescent="0.25">
      <c r="A106" s="134"/>
      <c r="B106" s="134"/>
      <c r="C106" s="134"/>
      <c r="D106" s="134"/>
      <c r="E106" s="99"/>
      <c r="F106" s="99"/>
      <c r="G106" s="99"/>
      <c r="H106" s="99"/>
      <c r="I106" s="99"/>
    </row>
    <row r="107" spans="1:9" x14ac:dyDescent="0.25">
      <c r="A107" s="134"/>
      <c r="B107" s="134"/>
      <c r="C107" s="134"/>
      <c r="D107" s="134"/>
      <c r="E107" s="99"/>
      <c r="F107" s="99"/>
      <c r="G107" s="99"/>
      <c r="H107" s="99"/>
      <c r="I107" s="99"/>
    </row>
    <row r="108" spans="1:9" x14ac:dyDescent="0.25">
      <c r="A108" s="134"/>
      <c r="B108" s="134"/>
      <c r="C108" s="134"/>
      <c r="D108" s="134"/>
      <c r="E108" s="99"/>
      <c r="F108" s="99"/>
      <c r="G108" s="99"/>
      <c r="H108" s="99"/>
      <c r="I108" s="99"/>
    </row>
    <row r="109" spans="1:9" x14ac:dyDescent="0.25">
      <c r="A109" s="134"/>
      <c r="B109" s="134"/>
      <c r="C109" s="134"/>
      <c r="D109" s="134"/>
      <c r="E109" s="99"/>
      <c r="F109" s="99"/>
      <c r="G109" s="99"/>
      <c r="H109" s="99"/>
      <c r="I109" s="99"/>
    </row>
    <row r="110" spans="1:9" x14ac:dyDescent="0.25">
      <c r="A110" s="134"/>
      <c r="B110" s="134"/>
      <c r="C110" s="134"/>
      <c r="D110" s="134"/>
      <c r="E110" s="99"/>
      <c r="F110" s="99"/>
      <c r="G110" s="99"/>
      <c r="H110" s="99"/>
      <c r="I110" s="99"/>
    </row>
    <row r="111" spans="1:9" x14ac:dyDescent="0.25">
      <c r="A111" s="134"/>
      <c r="B111" s="134"/>
      <c r="C111" s="134"/>
      <c r="D111" s="134"/>
      <c r="E111" s="99"/>
      <c r="F111" s="99"/>
      <c r="G111" s="99"/>
      <c r="H111" s="99"/>
      <c r="I111" s="99"/>
    </row>
    <row r="112" spans="1:9" x14ac:dyDescent="0.25">
      <c r="A112" s="134"/>
      <c r="B112" s="134"/>
      <c r="C112" s="134"/>
      <c r="D112" s="134"/>
      <c r="E112" s="99"/>
      <c r="F112" s="99"/>
      <c r="G112" s="99"/>
      <c r="H112" s="99"/>
      <c r="I112" s="99"/>
    </row>
    <row r="113" spans="1:9" x14ac:dyDescent="0.25">
      <c r="A113" s="134"/>
      <c r="B113" s="134"/>
      <c r="C113" s="134"/>
      <c r="D113" s="134"/>
      <c r="E113" s="99"/>
      <c r="F113" s="99"/>
      <c r="G113" s="99"/>
      <c r="H113" s="99"/>
      <c r="I113" s="99"/>
    </row>
    <row r="114" spans="1:9" x14ac:dyDescent="0.25">
      <c r="A114" s="134"/>
      <c r="B114" s="134"/>
      <c r="C114" s="134"/>
      <c r="D114" s="134"/>
      <c r="E114" s="99"/>
      <c r="F114" s="99"/>
      <c r="G114" s="99"/>
      <c r="H114" s="99"/>
      <c r="I114" s="99"/>
    </row>
    <row r="115" spans="1:9" x14ac:dyDescent="0.25">
      <c r="A115" s="134"/>
      <c r="B115" s="134"/>
      <c r="C115" s="134"/>
      <c r="D115" s="134"/>
      <c r="E115" s="99"/>
      <c r="F115" s="99"/>
      <c r="G115" s="99"/>
      <c r="H115" s="99"/>
      <c r="I115" s="99"/>
    </row>
    <row r="116" spans="1:9" x14ac:dyDescent="0.25">
      <c r="A116" s="134"/>
      <c r="B116" s="134"/>
      <c r="C116" s="134"/>
      <c r="D116" s="134"/>
      <c r="E116" s="99"/>
      <c r="F116" s="99"/>
      <c r="G116" s="99"/>
      <c r="H116" s="99"/>
      <c r="I116" s="99"/>
    </row>
    <row r="117" spans="1:9" x14ac:dyDescent="0.25">
      <c r="A117" s="134"/>
      <c r="B117" s="134"/>
      <c r="C117" s="134"/>
      <c r="D117" s="134"/>
      <c r="E117" s="99"/>
      <c r="F117" s="99"/>
      <c r="G117" s="99"/>
      <c r="H117" s="99"/>
      <c r="I117" s="99"/>
    </row>
    <row r="118" spans="1:9" x14ac:dyDescent="0.25">
      <c r="A118" s="134"/>
      <c r="B118" s="134"/>
      <c r="C118" s="134"/>
      <c r="D118" s="134"/>
      <c r="E118" s="99"/>
      <c r="F118" s="99"/>
      <c r="G118" s="99"/>
      <c r="H118" s="99"/>
      <c r="I118" s="99"/>
    </row>
    <row r="119" spans="1:9" x14ac:dyDescent="0.25">
      <c r="A119" s="134"/>
      <c r="B119" s="134"/>
      <c r="C119" s="134"/>
      <c r="D119" s="134"/>
      <c r="E119" s="99"/>
      <c r="F119" s="99"/>
      <c r="G119" s="99"/>
      <c r="H119" s="99"/>
      <c r="I119" s="99"/>
    </row>
    <row r="120" spans="1:9" x14ac:dyDescent="0.25">
      <c r="A120" s="134"/>
      <c r="B120" s="134"/>
      <c r="C120" s="134"/>
      <c r="D120" s="134"/>
      <c r="E120" s="99"/>
      <c r="F120" s="99"/>
      <c r="G120" s="99"/>
      <c r="H120" s="99"/>
      <c r="I120" s="99"/>
    </row>
    <row r="121" spans="1:9" x14ac:dyDescent="0.25">
      <c r="A121" s="134"/>
      <c r="B121" s="134"/>
      <c r="C121" s="134"/>
      <c r="D121" s="134"/>
      <c r="E121" s="99"/>
      <c r="F121" s="99"/>
      <c r="G121" s="99"/>
      <c r="H121" s="99"/>
      <c r="I121" s="99"/>
    </row>
    <row r="122" spans="1:9" x14ac:dyDescent="0.25">
      <c r="A122" s="134"/>
      <c r="B122" s="134"/>
      <c r="C122" s="134"/>
      <c r="D122" s="134"/>
      <c r="E122" s="99"/>
      <c r="F122" s="99"/>
      <c r="G122" s="99"/>
      <c r="H122" s="99"/>
      <c r="I122" s="99"/>
    </row>
    <row r="123" spans="1:9" x14ac:dyDescent="0.25">
      <c r="A123" s="134"/>
      <c r="B123" s="134"/>
      <c r="C123" s="134"/>
      <c r="D123" s="134"/>
      <c r="E123" s="99"/>
      <c r="F123" s="99"/>
      <c r="G123" s="99"/>
      <c r="H123" s="99"/>
      <c r="I123" s="99"/>
    </row>
    <row r="124" spans="1:9" x14ac:dyDescent="0.25">
      <c r="A124" s="134"/>
      <c r="B124" s="134"/>
      <c r="C124" s="134"/>
      <c r="D124" s="134"/>
      <c r="E124" s="99"/>
      <c r="F124" s="99"/>
      <c r="G124" s="99"/>
      <c r="H124" s="99"/>
      <c r="I124" s="99"/>
    </row>
    <row r="125" spans="1:9" x14ac:dyDescent="0.25">
      <c r="A125" s="134"/>
      <c r="B125" s="134"/>
      <c r="C125" s="134"/>
      <c r="D125" s="134"/>
      <c r="E125" s="99"/>
      <c r="F125" s="99"/>
      <c r="G125" s="99"/>
      <c r="H125" s="99"/>
      <c r="I125" s="99"/>
    </row>
    <row r="126" spans="1:9" x14ac:dyDescent="0.25">
      <c r="A126" s="134"/>
      <c r="B126" s="134"/>
      <c r="C126" s="134"/>
      <c r="D126" s="134"/>
      <c r="E126" s="99"/>
      <c r="F126" s="99"/>
      <c r="G126" s="99"/>
      <c r="H126" s="99"/>
      <c r="I126" s="99"/>
    </row>
    <row r="127" spans="1:9" x14ac:dyDescent="0.25">
      <c r="A127" s="134"/>
      <c r="B127" s="134"/>
      <c r="C127" s="134"/>
      <c r="D127" s="134"/>
      <c r="E127" s="99"/>
      <c r="F127" s="99"/>
      <c r="G127" s="99"/>
      <c r="H127" s="99"/>
      <c r="I127" s="99"/>
    </row>
    <row r="128" spans="1:9" x14ac:dyDescent="0.25">
      <c r="A128" s="134"/>
      <c r="B128" s="134"/>
      <c r="C128" s="134"/>
      <c r="D128" s="134"/>
      <c r="E128" s="99"/>
      <c r="F128" s="99"/>
      <c r="G128" s="99"/>
      <c r="H128" s="99"/>
      <c r="I128" s="99"/>
    </row>
    <row r="129" spans="1:9" x14ac:dyDescent="0.25">
      <c r="A129" s="134"/>
      <c r="B129" s="134"/>
      <c r="C129" s="134"/>
      <c r="D129" s="134"/>
      <c r="E129" s="99"/>
      <c r="F129" s="99"/>
      <c r="G129" s="99"/>
      <c r="H129" s="99"/>
      <c r="I129" s="99"/>
    </row>
    <row r="130" spans="1:9" x14ac:dyDescent="0.25">
      <c r="A130" s="134"/>
      <c r="B130" s="134"/>
      <c r="C130" s="134"/>
      <c r="D130" s="134"/>
      <c r="E130" s="99"/>
      <c r="F130" s="99"/>
      <c r="G130" s="99"/>
      <c r="H130" s="99"/>
      <c r="I130" s="99"/>
    </row>
    <row r="131" spans="1:9" x14ac:dyDescent="0.25">
      <c r="A131" s="134"/>
      <c r="B131" s="134"/>
      <c r="C131" s="134"/>
      <c r="D131" s="134"/>
      <c r="E131" s="99"/>
      <c r="F131" s="99"/>
      <c r="G131" s="99"/>
      <c r="H131" s="99"/>
      <c r="I131" s="99"/>
    </row>
    <row r="132" spans="1:9" x14ac:dyDescent="0.25">
      <c r="A132" s="134"/>
      <c r="B132" s="134"/>
      <c r="C132" s="134"/>
      <c r="D132" s="134"/>
      <c r="E132" s="99"/>
      <c r="F132" s="99"/>
      <c r="G132" s="99"/>
      <c r="H132" s="99"/>
      <c r="I132" s="99"/>
    </row>
    <row r="133" spans="1:9" x14ac:dyDescent="0.25">
      <c r="A133" s="134"/>
      <c r="B133" s="134"/>
      <c r="C133" s="134"/>
      <c r="D133" s="134"/>
      <c r="E133" s="99"/>
      <c r="F133" s="99"/>
      <c r="G133" s="99"/>
      <c r="H133" s="99"/>
      <c r="I133" s="99"/>
    </row>
    <row r="134" spans="1:9" x14ac:dyDescent="0.25">
      <c r="A134" s="134"/>
      <c r="B134" s="134"/>
      <c r="C134" s="134"/>
      <c r="D134" s="134"/>
      <c r="E134" s="99"/>
      <c r="F134" s="99"/>
      <c r="G134" s="99"/>
      <c r="H134" s="99"/>
      <c r="I134" s="99"/>
    </row>
    <row r="135" spans="1:9" x14ac:dyDescent="0.25">
      <c r="A135" s="134"/>
      <c r="B135" s="134"/>
      <c r="C135" s="134"/>
      <c r="D135" s="134"/>
      <c r="E135" s="99"/>
      <c r="F135" s="99"/>
      <c r="G135" s="99"/>
      <c r="H135" s="99"/>
      <c r="I135" s="99"/>
    </row>
    <row r="136" spans="1:9" x14ac:dyDescent="0.25">
      <c r="A136" s="134"/>
      <c r="B136" s="134"/>
      <c r="C136" s="134"/>
      <c r="D136" s="134"/>
      <c r="E136" s="99"/>
      <c r="F136" s="99"/>
      <c r="G136" s="99"/>
      <c r="H136" s="99"/>
      <c r="I136" s="99"/>
    </row>
    <row r="137" spans="1:9" x14ac:dyDescent="0.25">
      <c r="A137" s="134"/>
      <c r="B137" s="134"/>
      <c r="C137" s="134"/>
      <c r="D137" s="134"/>
      <c r="E137" s="99"/>
      <c r="F137" s="99"/>
      <c r="G137" s="99"/>
      <c r="H137" s="99"/>
      <c r="I137" s="99"/>
    </row>
    <row r="138" spans="1:9" x14ac:dyDescent="0.25">
      <c r="A138" s="134"/>
      <c r="B138" s="134"/>
      <c r="C138" s="134"/>
      <c r="D138" s="134"/>
      <c r="E138" s="99"/>
      <c r="F138" s="99"/>
      <c r="G138" s="99"/>
      <c r="H138" s="99"/>
      <c r="I138" s="99"/>
    </row>
    <row r="139" spans="1:9" x14ac:dyDescent="0.25">
      <c r="A139" s="134"/>
      <c r="B139" s="134"/>
      <c r="C139" s="134"/>
      <c r="D139" s="134"/>
      <c r="E139" s="99"/>
      <c r="F139" s="99"/>
      <c r="G139" s="99"/>
      <c r="H139" s="99"/>
      <c r="I139" s="99"/>
    </row>
    <row r="140" spans="1:9" x14ac:dyDescent="0.25">
      <c r="A140" s="134"/>
      <c r="B140" s="134"/>
      <c r="C140" s="134"/>
      <c r="D140" s="134"/>
      <c r="E140" s="99"/>
      <c r="F140" s="99"/>
      <c r="G140" s="99"/>
      <c r="H140" s="99"/>
      <c r="I140" s="99"/>
    </row>
    <row r="141" spans="1:9" x14ac:dyDescent="0.25">
      <c r="A141" s="134"/>
      <c r="B141" s="134"/>
      <c r="C141" s="134"/>
      <c r="D141" s="134"/>
      <c r="E141" s="99"/>
      <c r="F141" s="99"/>
      <c r="G141" s="99"/>
      <c r="H141" s="99"/>
      <c r="I141" s="99"/>
    </row>
    <row r="142" spans="1:9" x14ac:dyDescent="0.25">
      <c r="A142" s="134"/>
      <c r="B142" s="134"/>
      <c r="C142" s="134"/>
      <c r="D142" s="134"/>
      <c r="E142" s="99"/>
      <c r="F142" s="99"/>
      <c r="G142" s="99"/>
      <c r="H142" s="99"/>
      <c r="I142" s="99"/>
    </row>
    <row r="143" spans="1:9" x14ac:dyDescent="0.25">
      <c r="A143" s="134"/>
      <c r="B143" s="134"/>
      <c r="C143" s="134"/>
      <c r="D143" s="134"/>
      <c r="E143" s="99"/>
      <c r="F143" s="99"/>
      <c r="G143" s="99"/>
      <c r="H143" s="99"/>
      <c r="I143" s="99"/>
    </row>
    <row r="144" spans="1:9" x14ac:dyDescent="0.25">
      <c r="A144" s="134"/>
      <c r="B144" s="134"/>
      <c r="C144" s="134"/>
      <c r="D144" s="134"/>
      <c r="E144" s="99"/>
      <c r="F144" s="99"/>
      <c r="G144" s="99"/>
      <c r="H144" s="99"/>
      <c r="I144" s="99"/>
    </row>
    <row r="145" spans="1:9" x14ac:dyDescent="0.25">
      <c r="A145" s="134"/>
      <c r="B145" s="134"/>
      <c r="C145" s="134"/>
      <c r="D145" s="134"/>
      <c r="E145" s="99"/>
      <c r="F145" s="99"/>
      <c r="G145" s="99"/>
      <c r="H145" s="99"/>
      <c r="I145" s="99"/>
    </row>
    <row r="146" spans="1:9" x14ac:dyDescent="0.25">
      <c r="A146" s="134"/>
      <c r="B146" s="134"/>
      <c r="C146" s="134"/>
      <c r="D146" s="134"/>
      <c r="E146" s="99"/>
      <c r="F146" s="99"/>
      <c r="G146" s="99"/>
      <c r="H146" s="99"/>
      <c r="I146" s="99"/>
    </row>
    <row r="147" spans="1:9" x14ac:dyDescent="0.25">
      <c r="A147" s="134"/>
      <c r="B147" s="134"/>
      <c r="C147" s="134"/>
      <c r="D147" s="134"/>
      <c r="E147" s="99"/>
      <c r="F147" s="99"/>
      <c r="G147" s="99"/>
      <c r="H147" s="99"/>
      <c r="I147" s="99"/>
    </row>
    <row r="148" spans="1:9" x14ac:dyDescent="0.25">
      <c r="A148" s="134"/>
      <c r="B148" s="134"/>
      <c r="C148" s="134"/>
      <c r="D148" s="134"/>
      <c r="E148" s="99"/>
      <c r="F148" s="99"/>
      <c r="G148" s="99"/>
      <c r="H148" s="99"/>
      <c r="I148" s="99"/>
    </row>
    <row r="149" spans="1:9" x14ac:dyDescent="0.25">
      <c r="A149" s="134"/>
      <c r="B149" s="134"/>
      <c r="C149" s="134"/>
      <c r="D149" s="134"/>
      <c r="E149" s="99"/>
      <c r="F149" s="99"/>
      <c r="G149" s="99"/>
      <c r="H149" s="99"/>
      <c r="I149" s="99"/>
    </row>
    <row r="150" spans="1:9" x14ac:dyDescent="0.25">
      <c r="A150" s="134"/>
      <c r="B150" s="134"/>
      <c r="C150" s="134"/>
      <c r="D150" s="134"/>
      <c r="E150" s="99"/>
      <c r="F150" s="99"/>
      <c r="G150" s="99"/>
      <c r="H150" s="99"/>
      <c r="I150" s="99"/>
    </row>
    <row r="151" spans="1:9" x14ac:dyDescent="0.25">
      <c r="A151" s="134"/>
      <c r="B151" s="134"/>
      <c r="C151" s="134"/>
      <c r="D151" s="134"/>
      <c r="E151" s="99"/>
      <c r="F151" s="99"/>
      <c r="G151" s="99"/>
      <c r="H151" s="99"/>
      <c r="I151" s="99"/>
    </row>
    <row r="152" spans="1:9" x14ac:dyDescent="0.25">
      <c r="A152" s="134"/>
      <c r="B152" s="134"/>
      <c r="C152" s="134"/>
      <c r="D152" s="134"/>
      <c r="E152" s="99"/>
      <c r="F152" s="99"/>
      <c r="G152" s="99"/>
      <c r="H152" s="99"/>
      <c r="I152" s="99"/>
    </row>
    <row r="153" spans="1:9" x14ac:dyDescent="0.25">
      <c r="A153" s="134"/>
      <c r="B153" s="134"/>
      <c r="C153" s="134"/>
      <c r="D153" s="134"/>
      <c r="E153" s="99"/>
      <c r="F153" s="99"/>
      <c r="G153" s="99"/>
      <c r="H153" s="99"/>
      <c r="I153" s="99"/>
    </row>
    <row r="154" spans="1:9" x14ac:dyDescent="0.25">
      <c r="A154" s="134"/>
      <c r="B154" s="134"/>
      <c r="C154" s="134"/>
      <c r="D154" s="134"/>
      <c r="E154" s="99"/>
      <c r="F154" s="99"/>
      <c r="G154" s="99"/>
      <c r="H154" s="99"/>
      <c r="I154" s="99"/>
    </row>
    <row r="155" spans="1:9" x14ac:dyDescent="0.25">
      <c r="A155" s="134"/>
      <c r="B155" s="134"/>
      <c r="C155" s="134"/>
      <c r="D155" s="134"/>
      <c r="E155" s="99"/>
      <c r="F155" s="99"/>
      <c r="G155" s="99"/>
      <c r="H155" s="99"/>
      <c r="I155" s="99"/>
    </row>
    <row r="156" spans="1:9" x14ac:dyDescent="0.25">
      <c r="A156" s="134"/>
      <c r="B156" s="134"/>
      <c r="C156" s="134"/>
      <c r="D156" s="134"/>
      <c r="E156" s="99"/>
      <c r="F156" s="99"/>
      <c r="G156" s="99"/>
      <c r="H156" s="99"/>
      <c r="I156" s="99"/>
    </row>
    <row r="157" spans="1:9" x14ac:dyDescent="0.25">
      <c r="A157" s="134"/>
      <c r="B157" s="134"/>
      <c r="C157" s="134"/>
      <c r="D157" s="134"/>
      <c r="E157" s="99"/>
      <c r="F157" s="99"/>
      <c r="G157" s="99"/>
      <c r="H157" s="99"/>
      <c r="I157" s="99"/>
    </row>
    <row r="158" spans="1:9" x14ac:dyDescent="0.25">
      <c r="A158" s="134"/>
      <c r="B158" s="134"/>
      <c r="C158" s="134"/>
      <c r="D158" s="134"/>
      <c r="E158" s="99"/>
      <c r="F158" s="99"/>
      <c r="G158" s="99"/>
      <c r="H158" s="99"/>
      <c r="I158" s="99"/>
    </row>
    <row r="159" spans="1:9" x14ac:dyDescent="0.25">
      <c r="A159" s="134"/>
      <c r="B159" s="134"/>
      <c r="C159" s="134"/>
      <c r="D159" s="134"/>
      <c r="E159" s="99"/>
      <c r="F159" s="99"/>
      <c r="G159" s="99"/>
      <c r="H159" s="99"/>
      <c r="I159" s="99"/>
    </row>
    <row r="160" spans="1:9" x14ac:dyDescent="0.25">
      <c r="A160" s="134"/>
      <c r="B160" s="134"/>
      <c r="C160" s="134"/>
      <c r="D160" s="134"/>
      <c r="E160" s="99"/>
      <c r="F160" s="99"/>
      <c r="G160" s="99"/>
      <c r="H160" s="99"/>
      <c r="I160" s="99"/>
    </row>
    <row r="161" spans="1:9" x14ac:dyDescent="0.25">
      <c r="A161" s="134"/>
      <c r="B161" s="134"/>
      <c r="C161" s="134"/>
      <c r="D161" s="134"/>
      <c r="E161" s="99"/>
      <c r="F161" s="99"/>
      <c r="G161" s="99"/>
      <c r="H161" s="99"/>
      <c r="I161" s="99"/>
    </row>
    <row r="162" spans="1:9" x14ac:dyDescent="0.25">
      <c r="A162" s="134"/>
      <c r="B162" s="134"/>
      <c r="C162" s="134"/>
      <c r="D162" s="134"/>
      <c r="E162" s="99"/>
      <c r="F162" s="99"/>
      <c r="G162" s="99"/>
      <c r="H162" s="99"/>
      <c r="I162" s="99"/>
    </row>
    <row r="163" spans="1:9" x14ac:dyDescent="0.25">
      <c r="A163" s="134"/>
      <c r="B163" s="134"/>
      <c r="C163" s="134"/>
      <c r="D163" s="134"/>
      <c r="E163" s="99"/>
      <c r="F163" s="99"/>
      <c r="G163" s="99"/>
      <c r="H163" s="99"/>
      <c r="I163" s="99"/>
    </row>
    <row r="164" spans="1:9" x14ac:dyDescent="0.25">
      <c r="A164" s="134"/>
      <c r="B164" s="134"/>
      <c r="C164" s="134"/>
      <c r="D164" s="134"/>
      <c r="E164" s="99"/>
      <c r="F164" s="99"/>
      <c r="G164" s="99"/>
      <c r="H164" s="99"/>
      <c r="I164" s="99"/>
    </row>
    <row r="165" spans="1:9" x14ac:dyDescent="0.25">
      <c r="A165" s="134"/>
      <c r="B165" s="134"/>
      <c r="C165" s="134"/>
      <c r="D165" s="134"/>
      <c r="E165" s="99"/>
      <c r="F165" s="99"/>
      <c r="G165" s="99"/>
      <c r="H165" s="99"/>
      <c r="I165" s="99"/>
    </row>
    <row r="166" spans="1:9" x14ac:dyDescent="0.25">
      <c r="A166" s="134"/>
      <c r="B166" s="134"/>
      <c r="C166" s="134"/>
      <c r="D166" s="134"/>
      <c r="E166" s="99"/>
      <c r="F166" s="99"/>
      <c r="G166" s="99"/>
      <c r="H166" s="99"/>
      <c r="I166" s="99"/>
    </row>
    <row r="167" spans="1:9" x14ac:dyDescent="0.25">
      <c r="A167" s="134"/>
      <c r="B167" s="134"/>
      <c r="C167" s="134"/>
      <c r="D167" s="134"/>
      <c r="E167" s="99"/>
      <c r="F167" s="99"/>
      <c r="G167" s="99"/>
      <c r="H167" s="99"/>
      <c r="I167" s="99"/>
    </row>
    <row r="168" spans="1:9" x14ac:dyDescent="0.25">
      <c r="A168" s="134"/>
      <c r="B168" s="134"/>
      <c r="C168" s="134"/>
      <c r="D168" s="134"/>
      <c r="E168" s="99"/>
      <c r="F168" s="99"/>
      <c r="G168" s="99"/>
      <c r="H168" s="99"/>
      <c r="I168" s="99"/>
    </row>
    <row r="169" spans="1:9" x14ac:dyDescent="0.25">
      <c r="A169" s="134"/>
      <c r="B169" s="134"/>
      <c r="C169" s="134"/>
      <c r="D169" s="134"/>
      <c r="E169" s="99"/>
      <c r="F169" s="99"/>
      <c r="G169" s="99"/>
      <c r="H169" s="99"/>
      <c r="I169" s="99"/>
    </row>
    <row r="170" spans="1:9" x14ac:dyDescent="0.25">
      <c r="A170" s="134"/>
      <c r="B170" s="134"/>
      <c r="C170" s="134"/>
      <c r="D170" s="134"/>
      <c r="E170" s="99"/>
      <c r="F170" s="99"/>
      <c r="G170" s="99"/>
      <c r="H170" s="99"/>
      <c r="I170" s="99"/>
    </row>
    <row r="171" spans="1:9" x14ac:dyDescent="0.25">
      <c r="A171" s="134"/>
      <c r="B171" s="134"/>
      <c r="C171" s="134"/>
      <c r="D171" s="134"/>
      <c r="E171" s="99"/>
      <c r="F171" s="99"/>
      <c r="G171" s="99"/>
      <c r="H171" s="99"/>
      <c r="I171" s="99"/>
    </row>
    <row r="172" spans="1:9" x14ac:dyDescent="0.25">
      <c r="A172" s="134"/>
      <c r="B172" s="134"/>
      <c r="C172" s="134"/>
      <c r="D172" s="134"/>
      <c r="E172" s="99"/>
      <c r="F172" s="99"/>
      <c r="G172" s="99"/>
      <c r="H172" s="99"/>
      <c r="I172" s="99"/>
    </row>
    <row r="173" spans="1:9" x14ac:dyDescent="0.25">
      <c r="A173" s="134"/>
      <c r="B173" s="134"/>
      <c r="C173" s="134"/>
      <c r="D173" s="134"/>
      <c r="E173" s="99"/>
      <c r="F173" s="99"/>
      <c r="G173" s="99"/>
      <c r="H173" s="99"/>
      <c r="I173" s="99"/>
    </row>
    <row r="174" spans="1:9" x14ac:dyDescent="0.25">
      <c r="A174" s="134"/>
      <c r="B174" s="134"/>
      <c r="C174" s="134"/>
      <c r="D174" s="134"/>
      <c r="E174" s="99"/>
      <c r="F174" s="99"/>
      <c r="G174" s="99"/>
      <c r="H174" s="99"/>
      <c r="I174" s="99"/>
    </row>
    <row r="175" spans="1:9" x14ac:dyDescent="0.25">
      <c r="A175" s="134"/>
      <c r="B175" s="134"/>
      <c r="C175" s="134"/>
      <c r="D175" s="134"/>
      <c r="E175" s="99"/>
      <c r="F175" s="99"/>
      <c r="G175" s="99"/>
      <c r="H175" s="99"/>
      <c r="I175" s="99"/>
    </row>
    <row r="176" spans="1:9" x14ac:dyDescent="0.25">
      <c r="A176" s="134"/>
      <c r="B176" s="134"/>
      <c r="C176" s="134"/>
      <c r="D176" s="134"/>
      <c r="E176" s="99"/>
      <c r="F176" s="99"/>
      <c r="G176" s="99"/>
      <c r="H176" s="99"/>
      <c r="I176" s="99"/>
    </row>
    <row r="177" spans="1:9" x14ac:dyDescent="0.25">
      <c r="A177" s="134"/>
      <c r="B177" s="134"/>
      <c r="C177" s="134"/>
      <c r="D177" s="134"/>
      <c r="E177" s="99"/>
      <c r="F177" s="99"/>
      <c r="G177" s="99"/>
      <c r="H177" s="99"/>
      <c r="I177" s="99"/>
    </row>
    <row r="178" spans="1:9" x14ac:dyDescent="0.25">
      <c r="A178" s="134"/>
      <c r="B178" s="134"/>
      <c r="C178" s="134"/>
      <c r="D178" s="134"/>
      <c r="E178" s="99"/>
      <c r="F178" s="99"/>
      <c r="G178" s="99"/>
      <c r="H178" s="99"/>
      <c r="I178" s="99"/>
    </row>
    <row r="179" spans="1:9" x14ac:dyDescent="0.25">
      <c r="A179" s="134"/>
      <c r="B179" s="134"/>
      <c r="C179" s="134"/>
      <c r="D179" s="134"/>
      <c r="E179" s="99"/>
      <c r="F179" s="99"/>
      <c r="G179" s="99"/>
      <c r="H179" s="99"/>
      <c r="I179" s="99"/>
    </row>
    <row r="180" spans="1:9" x14ac:dyDescent="0.25">
      <c r="A180" s="134"/>
      <c r="B180" s="134"/>
      <c r="C180" s="134"/>
      <c r="D180" s="134"/>
      <c r="E180" s="99"/>
      <c r="F180" s="99"/>
      <c r="G180" s="99"/>
      <c r="H180" s="99"/>
      <c r="I180" s="99"/>
    </row>
    <row r="181" spans="1:9" x14ac:dyDescent="0.25">
      <c r="A181" s="134"/>
      <c r="B181" s="134"/>
      <c r="C181" s="134"/>
      <c r="D181" s="134"/>
      <c r="E181" s="99"/>
      <c r="F181" s="99"/>
      <c r="G181" s="99"/>
      <c r="H181" s="99"/>
      <c r="I181" s="99"/>
    </row>
    <row r="182" spans="1:9" x14ac:dyDescent="0.25">
      <c r="A182" s="134"/>
      <c r="B182" s="134"/>
      <c r="C182" s="134"/>
      <c r="D182" s="134"/>
      <c r="E182" s="99"/>
      <c r="F182" s="99"/>
      <c r="G182" s="99"/>
      <c r="H182" s="99"/>
      <c r="I182" s="99"/>
    </row>
    <row r="183" spans="1:9" x14ac:dyDescent="0.25">
      <c r="A183" s="134"/>
      <c r="B183" s="134"/>
      <c r="C183" s="134"/>
      <c r="D183" s="134"/>
      <c r="E183" s="99"/>
      <c r="F183" s="99"/>
      <c r="G183" s="99"/>
      <c r="H183" s="99"/>
      <c r="I183" s="99"/>
    </row>
    <row r="184" spans="1:9" x14ac:dyDescent="0.25">
      <c r="A184" s="134"/>
      <c r="B184" s="134"/>
      <c r="C184" s="134"/>
      <c r="D184" s="134"/>
      <c r="E184" s="99"/>
      <c r="F184" s="99"/>
      <c r="G184" s="99"/>
      <c r="H184" s="99"/>
      <c r="I184" s="99"/>
    </row>
    <row r="185" spans="1:9" x14ac:dyDescent="0.25">
      <c r="A185" s="134"/>
      <c r="B185" s="134"/>
      <c r="C185" s="134"/>
      <c r="D185" s="134"/>
      <c r="E185" s="99"/>
      <c r="F185" s="99"/>
      <c r="G185" s="99"/>
      <c r="H185" s="99"/>
      <c r="I185" s="99"/>
    </row>
    <row r="186" spans="1:9" x14ac:dyDescent="0.25">
      <c r="A186" s="134"/>
      <c r="B186" s="134"/>
      <c r="C186" s="134"/>
      <c r="D186" s="134"/>
      <c r="E186" s="99"/>
      <c r="F186" s="99"/>
      <c r="G186" s="99"/>
      <c r="H186" s="99"/>
      <c r="I186" s="99"/>
    </row>
    <row r="187" spans="1:9" x14ac:dyDescent="0.25">
      <c r="A187" s="134"/>
      <c r="B187" s="134"/>
      <c r="C187" s="134"/>
      <c r="D187" s="134"/>
      <c r="E187" s="99"/>
      <c r="F187" s="99"/>
      <c r="G187" s="99"/>
      <c r="H187" s="99"/>
      <c r="I187" s="99"/>
    </row>
    <row r="188" spans="1:9" x14ac:dyDescent="0.25">
      <c r="A188" s="134"/>
      <c r="B188" s="134"/>
      <c r="C188" s="134"/>
      <c r="D188" s="134"/>
      <c r="E188" s="99"/>
      <c r="F188" s="99"/>
      <c r="G188" s="99"/>
      <c r="H188" s="99"/>
      <c r="I188" s="99"/>
    </row>
    <row r="189" spans="1:9" x14ac:dyDescent="0.25">
      <c r="A189" s="134"/>
      <c r="B189" s="134"/>
      <c r="C189" s="134"/>
      <c r="D189" s="134"/>
      <c r="E189" s="99"/>
      <c r="F189" s="99"/>
      <c r="G189" s="99"/>
      <c r="H189" s="99"/>
      <c r="I189" s="99"/>
    </row>
    <row r="190" spans="1:9" x14ac:dyDescent="0.25">
      <c r="A190" s="134"/>
      <c r="B190" s="134"/>
      <c r="C190" s="134"/>
      <c r="D190" s="134"/>
      <c r="E190" s="99"/>
      <c r="F190" s="99"/>
      <c r="G190" s="99"/>
      <c r="H190" s="99"/>
      <c r="I190" s="99"/>
    </row>
    <row r="191" spans="1:9" x14ac:dyDescent="0.25">
      <c r="A191" s="134"/>
      <c r="B191" s="134"/>
      <c r="C191" s="134"/>
      <c r="D191" s="134"/>
      <c r="E191" s="99"/>
      <c r="F191" s="99"/>
      <c r="G191" s="99"/>
      <c r="H191" s="99"/>
      <c r="I191" s="99"/>
    </row>
    <row r="192" spans="1:9" x14ac:dyDescent="0.25">
      <c r="A192" s="134"/>
      <c r="B192" s="134"/>
      <c r="C192" s="134"/>
      <c r="D192" s="134"/>
      <c r="E192" s="99"/>
      <c r="F192" s="99"/>
      <c r="G192" s="99"/>
      <c r="H192" s="99"/>
      <c r="I192" s="99"/>
    </row>
    <row r="193" spans="1:9" x14ac:dyDescent="0.25">
      <c r="A193" s="134"/>
      <c r="B193" s="134"/>
      <c r="C193" s="134"/>
      <c r="D193" s="134"/>
      <c r="E193" s="99"/>
      <c r="F193" s="99"/>
      <c r="G193" s="99"/>
      <c r="H193" s="99"/>
      <c r="I193" s="99"/>
    </row>
    <row r="194" spans="1:9" x14ac:dyDescent="0.25">
      <c r="A194" s="134"/>
      <c r="B194" s="134"/>
      <c r="C194" s="134"/>
      <c r="D194" s="134"/>
      <c r="E194" s="99"/>
      <c r="F194" s="99"/>
      <c r="G194" s="99"/>
      <c r="H194" s="99"/>
      <c r="I194" s="99"/>
    </row>
    <row r="195" spans="1:9" x14ac:dyDescent="0.25">
      <c r="A195" s="134"/>
      <c r="B195" s="134"/>
      <c r="C195" s="134"/>
      <c r="D195" s="134"/>
      <c r="E195" s="99"/>
      <c r="F195" s="99"/>
      <c r="G195" s="99"/>
      <c r="H195" s="99"/>
      <c r="I195" s="99"/>
    </row>
    <row r="196" spans="1:9" x14ac:dyDescent="0.25">
      <c r="A196" s="134"/>
      <c r="B196" s="134"/>
      <c r="C196" s="134"/>
      <c r="D196" s="134"/>
      <c r="E196" s="99"/>
      <c r="F196" s="99"/>
      <c r="G196" s="99"/>
      <c r="H196" s="99"/>
      <c r="I196" s="99"/>
    </row>
    <row r="197" spans="1:9" x14ac:dyDescent="0.25">
      <c r="A197" s="134"/>
      <c r="B197" s="134"/>
      <c r="C197" s="134"/>
      <c r="D197" s="134"/>
      <c r="E197" s="99"/>
      <c r="F197" s="99"/>
      <c r="G197" s="99"/>
      <c r="H197" s="99"/>
      <c r="I197" s="99"/>
    </row>
    <row r="198" spans="1:9" x14ac:dyDescent="0.25">
      <c r="A198" s="134"/>
      <c r="B198" s="134"/>
      <c r="C198" s="134"/>
      <c r="D198" s="134"/>
      <c r="E198" s="99"/>
      <c r="F198" s="99"/>
      <c r="G198" s="99"/>
      <c r="H198" s="99"/>
      <c r="I198" s="99"/>
    </row>
    <row r="199" spans="1:9" x14ac:dyDescent="0.25">
      <c r="A199" s="134"/>
      <c r="B199" s="134"/>
      <c r="C199" s="134"/>
      <c r="D199" s="134"/>
      <c r="E199" s="99"/>
      <c r="F199" s="99"/>
      <c r="G199" s="99"/>
      <c r="H199" s="99"/>
      <c r="I199" s="99"/>
    </row>
    <row r="200" spans="1:9" x14ac:dyDescent="0.25">
      <c r="A200" s="134"/>
      <c r="B200" s="134"/>
      <c r="C200" s="134"/>
      <c r="D200" s="134"/>
      <c r="E200" s="99"/>
      <c r="F200" s="99"/>
      <c r="G200" s="99"/>
      <c r="H200" s="99"/>
      <c r="I200" s="99"/>
    </row>
    <row r="201" spans="1:9" x14ac:dyDescent="0.25">
      <c r="A201" s="134"/>
      <c r="B201" s="134"/>
      <c r="C201" s="134"/>
      <c r="D201" s="134"/>
      <c r="E201" s="99"/>
      <c r="F201" s="99"/>
      <c r="G201" s="99"/>
      <c r="H201" s="99"/>
      <c r="I201" s="99"/>
    </row>
    <row r="202" spans="1:9" x14ac:dyDescent="0.25">
      <c r="A202" s="134"/>
      <c r="B202" s="134"/>
      <c r="C202" s="134"/>
      <c r="D202" s="134"/>
      <c r="E202" s="99"/>
      <c r="F202" s="99"/>
      <c r="G202" s="99"/>
      <c r="H202" s="99"/>
      <c r="I202" s="99"/>
    </row>
    <row r="203" spans="1:9" x14ac:dyDescent="0.25">
      <c r="A203" s="134"/>
      <c r="B203" s="134"/>
      <c r="C203" s="134"/>
      <c r="D203" s="134"/>
      <c r="E203" s="99"/>
      <c r="F203" s="99"/>
      <c r="G203" s="99"/>
      <c r="H203" s="99"/>
      <c r="I203" s="99"/>
    </row>
    <row r="204" spans="1:9" x14ac:dyDescent="0.25">
      <c r="A204" s="134"/>
      <c r="B204" s="134"/>
      <c r="C204" s="134"/>
      <c r="D204" s="134"/>
      <c r="E204" s="99"/>
      <c r="F204" s="99"/>
      <c r="G204" s="99"/>
      <c r="H204" s="99"/>
      <c r="I204" s="99"/>
    </row>
    <row r="205" spans="1:9" x14ac:dyDescent="0.25">
      <c r="A205" s="134"/>
      <c r="B205" s="134"/>
      <c r="C205" s="134"/>
      <c r="D205" s="134"/>
      <c r="E205" s="99"/>
      <c r="F205" s="99"/>
      <c r="G205" s="99"/>
      <c r="H205" s="99"/>
      <c r="I205" s="99"/>
    </row>
    <row r="206" spans="1:9" x14ac:dyDescent="0.25">
      <c r="A206" s="134"/>
      <c r="B206" s="134"/>
      <c r="C206" s="134"/>
      <c r="D206" s="134"/>
      <c r="E206" s="99"/>
      <c r="F206" s="99"/>
      <c r="G206" s="99"/>
      <c r="H206" s="99"/>
      <c r="I206" s="99"/>
    </row>
    <row r="207" spans="1:9" x14ac:dyDescent="0.25">
      <c r="A207" s="134"/>
      <c r="B207" s="134"/>
      <c r="C207" s="134"/>
      <c r="D207" s="134"/>
      <c r="E207" s="99"/>
      <c r="F207" s="99"/>
      <c r="G207" s="99"/>
      <c r="H207" s="99"/>
      <c r="I207" s="99"/>
    </row>
    <row r="208" spans="1:9" x14ac:dyDescent="0.25">
      <c r="A208" s="134"/>
      <c r="B208" s="134"/>
      <c r="C208" s="134"/>
      <c r="D208" s="134"/>
      <c r="E208" s="99"/>
      <c r="F208" s="99"/>
      <c r="G208" s="99"/>
      <c r="H208" s="99"/>
      <c r="I208" s="99"/>
    </row>
    <row r="209" spans="1:9" x14ac:dyDescent="0.25">
      <c r="A209" s="134"/>
      <c r="B209" s="134"/>
      <c r="C209" s="134"/>
      <c r="D209" s="134"/>
      <c r="E209" s="99"/>
      <c r="F209" s="99"/>
      <c r="G209" s="99"/>
      <c r="H209" s="99"/>
      <c r="I209" s="99"/>
    </row>
    <row r="210" spans="1:9" x14ac:dyDescent="0.25">
      <c r="A210" s="134"/>
      <c r="B210" s="134"/>
      <c r="C210" s="134"/>
      <c r="D210" s="134"/>
      <c r="E210" s="99"/>
      <c r="F210" s="99"/>
      <c r="G210" s="99"/>
      <c r="H210" s="99"/>
      <c r="I210" s="99"/>
    </row>
    <row r="211" spans="1:9" x14ac:dyDescent="0.25">
      <c r="A211" s="134"/>
      <c r="B211" s="134"/>
      <c r="C211" s="134"/>
      <c r="D211" s="134"/>
      <c r="E211" s="99"/>
      <c r="F211" s="99"/>
      <c r="G211" s="99"/>
      <c r="H211" s="99"/>
      <c r="I211" s="99"/>
    </row>
    <row r="212" spans="1:9" x14ac:dyDescent="0.25">
      <c r="A212" s="134"/>
      <c r="B212" s="134"/>
      <c r="C212" s="134"/>
      <c r="D212" s="134"/>
      <c r="E212" s="99"/>
      <c r="F212" s="99"/>
      <c r="G212" s="99"/>
      <c r="H212" s="99"/>
      <c r="I212" s="99"/>
    </row>
    <row r="213" spans="1:9" x14ac:dyDescent="0.25">
      <c r="A213" s="134"/>
      <c r="B213" s="134"/>
      <c r="C213" s="134"/>
      <c r="D213" s="134"/>
      <c r="E213" s="99"/>
      <c r="F213" s="99"/>
      <c r="G213" s="99"/>
      <c r="H213" s="99"/>
      <c r="I213" s="99"/>
    </row>
    <row r="214" spans="1:9" x14ac:dyDescent="0.25">
      <c r="A214" s="134"/>
      <c r="B214" s="134"/>
      <c r="C214" s="134"/>
      <c r="D214" s="134"/>
      <c r="E214" s="99"/>
      <c r="F214" s="99"/>
      <c r="G214" s="99"/>
      <c r="H214" s="99"/>
      <c r="I214" s="99"/>
    </row>
    <row r="215" spans="1:9" x14ac:dyDescent="0.25">
      <c r="A215" s="134"/>
      <c r="B215" s="134"/>
      <c r="C215" s="134"/>
      <c r="D215" s="134"/>
      <c r="E215" s="99"/>
      <c r="F215" s="99"/>
      <c r="G215" s="99"/>
      <c r="H215" s="99"/>
      <c r="I215" s="99"/>
    </row>
    <row r="216" spans="1:9" x14ac:dyDescent="0.25">
      <c r="A216" s="134"/>
      <c r="B216" s="134"/>
      <c r="C216" s="134"/>
      <c r="D216" s="134"/>
      <c r="E216" s="99"/>
      <c r="F216" s="99"/>
      <c r="G216" s="99"/>
      <c r="H216" s="99"/>
      <c r="I216" s="99"/>
    </row>
    <row r="217" spans="1:9" x14ac:dyDescent="0.25">
      <c r="A217" s="134"/>
      <c r="B217" s="134"/>
      <c r="C217" s="134"/>
      <c r="D217" s="134"/>
      <c r="E217" s="99"/>
      <c r="F217" s="99"/>
      <c r="G217" s="99"/>
      <c r="H217" s="99"/>
      <c r="I217" s="99"/>
    </row>
    <row r="218" spans="1:9" x14ac:dyDescent="0.25">
      <c r="A218" s="134"/>
      <c r="B218" s="134"/>
      <c r="C218" s="134"/>
      <c r="D218" s="134"/>
      <c r="E218" s="99"/>
      <c r="F218" s="99"/>
      <c r="G218" s="99"/>
      <c r="H218" s="99"/>
      <c r="I218" s="99"/>
    </row>
    <row r="219" spans="1:9" x14ac:dyDescent="0.25">
      <c r="A219" s="134"/>
      <c r="B219" s="134"/>
      <c r="C219" s="134"/>
      <c r="D219" s="134"/>
      <c r="E219" s="99"/>
      <c r="F219" s="99"/>
      <c r="G219" s="99"/>
      <c r="H219" s="99"/>
      <c r="I219" s="99"/>
    </row>
    <row r="220" spans="1:9" x14ac:dyDescent="0.25">
      <c r="A220" s="134"/>
      <c r="B220" s="134"/>
      <c r="C220" s="134"/>
      <c r="D220" s="134"/>
      <c r="E220" s="99"/>
      <c r="F220" s="99"/>
      <c r="G220" s="99"/>
      <c r="H220" s="99"/>
      <c r="I220" s="99"/>
    </row>
    <row r="221" spans="1:9" x14ac:dyDescent="0.25">
      <c r="A221" s="134"/>
      <c r="B221" s="134"/>
      <c r="C221" s="134"/>
      <c r="D221" s="134"/>
      <c r="E221" s="99"/>
      <c r="F221" s="99"/>
      <c r="G221" s="99"/>
      <c r="H221" s="99"/>
      <c r="I221" s="99"/>
    </row>
    <row r="222" spans="1:9" x14ac:dyDescent="0.25">
      <c r="A222" s="134"/>
      <c r="B222" s="134"/>
      <c r="C222" s="134"/>
      <c r="D222" s="134"/>
      <c r="E222" s="99"/>
      <c r="F222" s="99"/>
      <c r="G222" s="99"/>
      <c r="H222" s="99"/>
      <c r="I222" s="99"/>
    </row>
    <row r="223" spans="1:9" x14ac:dyDescent="0.25">
      <c r="A223" s="134"/>
      <c r="B223" s="134"/>
      <c r="C223" s="134"/>
      <c r="D223" s="134"/>
      <c r="E223" s="99"/>
      <c r="F223" s="99"/>
      <c r="G223" s="99"/>
      <c r="H223" s="99"/>
      <c r="I223" s="99"/>
    </row>
    <row r="224" spans="1:9" x14ac:dyDescent="0.25">
      <c r="A224" s="134"/>
      <c r="B224" s="134"/>
      <c r="C224" s="134"/>
      <c r="D224" s="134"/>
      <c r="E224" s="99"/>
      <c r="F224" s="99"/>
      <c r="G224" s="99"/>
      <c r="H224" s="99"/>
      <c r="I224" s="99"/>
    </row>
    <row r="225" spans="1:9" x14ac:dyDescent="0.25">
      <c r="A225" s="134"/>
      <c r="B225" s="134"/>
      <c r="C225" s="134"/>
      <c r="D225" s="134"/>
      <c r="E225" s="99"/>
      <c r="F225" s="99"/>
      <c r="G225" s="99"/>
      <c r="H225" s="99"/>
      <c r="I225" s="99"/>
    </row>
    <row r="226" spans="1:9" x14ac:dyDescent="0.25">
      <c r="A226" s="134"/>
      <c r="B226" s="134"/>
      <c r="C226" s="134"/>
      <c r="D226" s="134"/>
      <c r="E226" s="99"/>
      <c r="F226" s="99"/>
      <c r="G226" s="99"/>
      <c r="H226" s="99"/>
      <c r="I226" s="99"/>
    </row>
    <row r="227" spans="1:9" x14ac:dyDescent="0.25">
      <c r="A227" s="134"/>
      <c r="B227" s="134"/>
      <c r="C227" s="134"/>
      <c r="D227" s="134"/>
      <c r="E227" s="99"/>
      <c r="F227" s="99"/>
      <c r="G227" s="99"/>
      <c r="H227" s="99"/>
      <c r="I227" s="99"/>
    </row>
    <row r="228" spans="1:9" x14ac:dyDescent="0.25">
      <c r="A228" s="134"/>
      <c r="B228" s="134"/>
      <c r="C228" s="134"/>
      <c r="D228" s="134"/>
      <c r="E228" s="99"/>
      <c r="F228" s="99"/>
      <c r="G228" s="99"/>
      <c r="H228" s="99"/>
      <c r="I228" s="99"/>
    </row>
    <row r="229" spans="1:9" x14ac:dyDescent="0.25">
      <c r="A229" s="134"/>
      <c r="B229" s="134"/>
      <c r="C229" s="134"/>
      <c r="D229" s="134"/>
      <c r="E229" s="99"/>
      <c r="F229" s="99"/>
      <c r="G229" s="99"/>
      <c r="H229" s="99"/>
      <c r="I229" s="99"/>
    </row>
    <row r="230" spans="1:9" x14ac:dyDescent="0.25">
      <c r="A230" s="134"/>
      <c r="B230" s="134"/>
      <c r="C230" s="134"/>
      <c r="D230" s="134"/>
      <c r="E230" s="99"/>
      <c r="F230" s="99"/>
      <c r="G230" s="99"/>
      <c r="H230" s="99"/>
      <c r="I230" s="99"/>
    </row>
    <row r="231" spans="1:9" x14ac:dyDescent="0.25">
      <c r="A231" s="134"/>
      <c r="B231" s="134"/>
      <c r="C231" s="134"/>
      <c r="D231" s="134"/>
      <c r="E231" s="99"/>
      <c r="F231" s="99"/>
      <c r="G231" s="99"/>
      <c r="H231" s="99"/>
      <c r="I231" s="99"/>
    </row>
    <row r="232" spans="1:9" x14ac:dyDescent="0.25">
      <c r="A232" s="134"/>
      <c r="B232" s="134"/>
      <c r="C232" s="134"/>
      <c r="D232" s="134"/>
      <c r="E232" s="99"/>
      <c r="F232" s="99"/>
      <c r="G232" s="99"/>
      <c r="H232" s="99"/>
      <c r="I232" s="99"/>
    </row>
    <row r="233" spans="1:9" x14ac:dyDescent="0.25">
      <c r="A233" s="134"/>
      <c r="B233" s="134"/>
      <c r="C233" s="134"/>
      <c r="D233" s="134"/>
      <c r="E233" s="99"/>
      <c r="F233" s="99"/>
      <c r="G233" s="99"/>
      <c r="H233" s="99"/>
      <c r="I233" s="99"/>
    </row>
    <row r="234" spans="1:9" x14ac:dyDescent="0.25">
      <c r="A234" s="134"/>
      <c r="B234" s="134"/>
      <c r="C234" s="134"/>
      <c r="D234" s="134"/>
      <c r="E234" s="99"/>
      <c r="F234" s="99"/>
      <c r="G234" s="99"/>
      <c r="H234" s="99"/>
      <c r="I234" s="99"/>
    </row>
    <row r="235" spans="1:9" x14ac:dyDescent="0.25">
      <c r="A235" s="134"/>
      <c r="B235" s="134"/>
      <c r="C235" s="134"/>
      <c r="D235" s="134"/>
      <c r="E235" s="99"/>
      <c r="F235" s="99"/>
      <c r="G235" s="99"/>
      <c r="H235" s="99"/>
      <c r="I235" s="99"/>
    </row>
    <row r="236" spans="1:9" x14ac:dyDescent="0.25">
      <c r="A236" s="134"/>
      <c r="B236" s="134"/>
      <c r="C236" s="134"/>
      <c r="D236" s="134"/>
      <c r="E236" s="99"/>
      <c r="F236" s="99"/>
      <c r="G236" s="99"/>
      <c r="H236" s="99"/>
      <c r="I236" s="99"/>
    </row>
    <row r="237" spans="1:9" x14ac:dyDescent="0.25">
      <c r="A237" s="134"/>
      <c r="B237" s="134"/>
      <c r="C237" s="134"/>
      <c r="D237" s="134"/>
      <c r="E237" s="99"/>
      <c r="F237" s="99"/>
      <c r="G237" s="99"/>
      <c r="H237" s="99"/>
      <c r="I237" s="99"/>
    </row>
    <row r="238" spans="1:9" x14ac:dyDescent="0.25">
      <c r="A238" s="134"/>
      <c r="B238" s="134"/>
      <c r="C238" s="134"/>
      <c r="D238" s="134"/>
      <c r="E238" s="99"/>
      <c r="F238" s="99"/>
      <c r="G238" s="99"/>
      <c r="H238" s="99"/>
      <c r="I238" s="99"/>
    </row>
    <row r="239" spans="1:9" x14ac:dyDescent="0.25">
      <c r="A239" s="134"/>
      <c r="B239" s="134"/>
      <c r="C239" s="134"/>
      <c r="D239" s="134"/>
      <c r="E239" s="99"/>
      <c r="F239" s="99"/>
      <c r="G239" s="99"/>
      <c r="H239" s="99"/>
      <c r="I239" s="99"/>
    </row>
    <row r="240" spans="1:9" x14ac:dyDescent="0.25">
      <c r="A240" s="134"/>
      <c r="B240" s="134"/>
      <c r="C240" s="134"/>
      <c r="D240" s="134"/>
      <c r="E240" s="99"/>
      <c r="F240" s="99"/>
      <c r="G240" s="99"/>
      <c r="H240" s="99"/>
      <c r="I240" s="99"/>
    </row>
    <row r="241" spans="1:9" x14ac:dyDescent="0.25">
      <c r="A241" s="134"/>
      <c r="B241" s="134"/>
      <c r="C241" s="134"/>
      <c r="D241" s="134"/>
      <c r="E241" s="99"/>
      <c r="F241" s="99"/>
      <c r="G241" s="99"/>
      <c r="H241" s="99"/>
      <c r="I241" s="99"/>
    </row>
    <row r="242" spans="1:9" x14ac:dyDescent="0.25">
      <c r="A242" s="134"/>
      <c r="B242" s="134"/>
      <c r="C242" s="134"/>
      <c r="D242" s="134"/>
      <c r="E242" s="99"/>
      <c r="F242" s="99"/>
      <c r="G242" s="99"/>
      <c r="H242" s="99"/>
      <c r="I242" s="99"/>
    </row>
    <row r="243" spans="1:9" x14ac:dyDescent="0.25">
      <c r="A243" s="134"/>
      <c r="B243" s="134"/>
      <c r="C243" s="134"/>
      <c r="D243" s="134"/>
      <c r="E243" s="99"/>
      <c r="F243" s="99"/>
      <c r="G243" s="99"/>
      <c r="H243" s="99"/>
      <c r="I243" s="99"/>
    </row>
    <row r="244" spans="1:9" x14ac:dyDescent="0.25">
      <c r="A244" s="134"/>
      <c r="B244" s="134"/>
      <c r="C244" s="134"/>
      <c r="D244" s="134"/>
      <c r="E244" s="99"/>
      <c r="F244" s="99"/>
      <c r="G244" s="99"/>
      <c r="H244" s="99"/>
      <c r="I244" s="99"/>
    </row>
    <row r="245" spans="1:9" x14ac:dyDescent="0.25">
      <c r="A245" s="134"/>
      <c r="B245" s="134"/>
      <c r="C245" s="134"/>
      <c r="D245" s="134"/>
      <c r="E245" s="99"/>
      <c r="F245" s="99"/>
      <c r="G245" s="99"/>
      <c r="H245" s="99"/>
      <c r="I245" s="99"/>
    </row>
    <row r="246" spans="1:9" x14ac:dyDescent="0.25">
      <c r="A246" s="134"/>
      <c r="B246" s="134"/>
      <c r="C246" s="134"/>
      <c r="D246" s="134"/>
      <c r="E246" s="99"/>
      <c r="F246" s="99"/>
      <c r="G246" s="99"/>
      <c r="H246" s="99"/>
      <c r="I246" s="99"/>
    </row>
    <row r="247" spans="1:9" x14ac:dyDescent="0.25">
      <c r="A247" s="134"/>
      <c r="B247" s="134"/>
      <c r="C247" s="134"/>
      <c r="D247" s="134"/>
      <c r="E247" s="99"/>
      <c r="F247" s="99"/>
      <c r="G247" s="99"/>
      <c r="H247" s="99"/>
      <c r="I247" s="99"/>
    </row>
    <row r="248" spans="1:9" x14ac:dyDescent="0.25">
      <c r="A248" s="134"/>
      <c r="B248" s="134"/>
      <c r="C248" s="134"/>
      <c r="D248" s="134"/>
      <c r="E248" s="99"/>
      <c r="F248" s="99"/>
      <c r="G248" s="99"/>
      <c r="H248" s="99"/>
      <c r="I248" s="99"/>
    </row>
    <row r="249" spans="1:9" x14ac:dyDescent="0.25">
      <c r="A249" s="134"/>
      <c r="B249" s="134"/>
      <c r="C249" s="134"/>
      <c r="D249" s="134"/>
      <c r="E249" s="99"/>
      <c r="F249" s="99"/>
      <c r="G249" s="99"/>
      <c r="H249" s="99"/>
      <c r="I249" s="99"/>
    </row>
    <row r="250" spans="1:9" x14ac:dyDescent="0.25">
      <c r="A250" s="134"/>
      <c r="B250" s="134"/>
      <c r="C250" s="134"/>
      <c r="D250" s="134"/>
      <c r="E250" s="99"/>
      <c r="F250" s="99"/>
      <c r="G250" s="99"/>
      <c r="H250" s="99"/>
      <c r="I250" s="99"/>
    </row>
    <row r="251" spans="1:9" x14ac:dyDescent="0.25">
      <c r="A251" s="134"/>
      <c r="B251" s="134"/>
      <c r="C251" s="134"/>
      <c r="D251" s="134"/>
      <c r="E251" s="99"/>
      <c r="F251" s="99"/>
      <c r="G251" s="99"/>
      <c r="H251" s="99"/>
      <c r="I251" s="99"/>
    </row>
    <row r="252" spans="1:9" x14ac:dyDescent="0.25">
      <c r="A252" s="134"/>
      <c r="B252" s="134"/>
      <c r="C252" s="134"/>
      <c r="D252" s="134"/>
      <c r="E252" s="99"/>
      <c r="F252" s="99"/>
      <c r="G252" s="99"/>
      <c r="H252" s="99"/>
      <c r="I252" s="99"/>
    </row>
    <row r="253" spans="1:9" x14ac:dyDescent="0.25">
      <c r="A253" s="134"/>
      <c r="B253" s="134"/>
      <c r="C253" s="134"/>
      <c r="D253" s="134"/>
      <c r="E253" s="99"/>
      <c r="F253" s="99"/>
      <c r="G253" s="99"/>
      <c r="H253" s="99"/>
      <c r="I253" s="99"/>
    </row>
    <row r="254" spans="1:9" x14ac:dyDescent="0.25">
      <c r="A254" s="134"/>
      <c r="B254" s="134"/>
      <c r="C254" s="134"/>
      <c r="D254" s="134"/>
      <c r="E254" s="99"/>
      <c r="F254" s="99"/>
      <c r="G254" s="99"/>
      <c r="H254" s="99"/>
      <c r="I254" s="99"/>
    </row>
    <row r="255" spans="1:9" x14ac:dyDescent="0.25">
      <c r="A255" s="134"/>
      <c r="B255" s="134"/>
      <c r="C255" s="134"/>
      <c r="D255" s="134"/>
      <c r="E255" s="99"/>
      <c r="F255" s="99"/>
      <c r="G255" s="99"/>
      <c r="H255" s="99"/>
      <c r="I255" s="99"/>
    </row>
    <row r="256" spans="1:9" x14ac:dyDescent="0.25">
      <c r="A256" s="134"/>
      <c r="B256" s="134"/>
      <c r="C256" s="134"/>
      <c r="D256" s="134"/>
      <c r="E256" s="99"/>
      <c r="F256" s="99"/>
      <c r="G256" s="99"/>
      <c r="H256" s="99"/>
      <c r="I256" s="99"/>
    </row>
    <row r="257" spans="1:9" x14ac:dyDescent="0.25">
      <c r="A257" s="134"/>
      <c r="B257" s="134"/>
      <c r="C257" s="134"/>
      <c r="D257" s="134"/>
      <c r="E257" s="99"/>
      <c r="F257" s="99"/>
      <c r="G257" s="99"/>
      <c r="H257" s="99"/>
      <c r="I257" s="99"/>
    </row>
    <row r="258" spans="1:9" x14ac:dyDescent="0.25">
      <c r="A258" s="134"/>
      <c r="B258" s="134"/>
      <c r="C258" s="134"/>
      <c r="D258" s="134"/>
      <c r="E258" s="99"/>
      <c r="F258" s="99"/>
      <c r="G258" s="99"/>
      <c r="H258" s="99"/>
      <c r="I258" s="99"/>
    </row>
    <row r="259" spans="1:9" x14ac:dyDescent="0.25">
      <c r="A259" s="134"/>
      <c r="B259" s="134"/>
      <c r="C259" s="134"/>
      <c r="D259" s="134"/>
      <c r="E259" s="99"/>
      <c r="F259" s="99"/>
      <c r="G259" s="99"/>
      <c r="H259" s="99"/>
      <c r="I259" s="99"/>
    </row>
    <row r="260" spans="1:9" x14ac:dyDescent="0.25">
      <c r="A260" s="134"/>
      <c r="B260" s="134"/>
      <c r="C260" s="134"/>
      <c r="D260" s="134"/>
      <c r="E260" s="99"/>
      <c r="F260" s="99"/>
      <c r="G260" s="99"/>
      <c r="H260" s="99"/>
      <c r="I260" s="9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DEE0-AEE9-47A5-B2E7-36AFCFE77310}">
  <dimension ref="A1:J260"/>
  <sheetViews>
    <sheetView workbookViewId="0"/>
  </sheetViews>
  <sheetFormatPr defaultRowHeight="15.75" x14ac:dyDescent="0.25"/>
  <cols>
    <col min="1" max="1" width="23.75" style="105" customWidth="1"/>
    <col min="2" max="2" width="13.625" style="105" bestFit="1" customWidth="1"/>
    <col min="3" max="3" width="21.375" style="105" bestFit="1" customWidth="1"/>
    <col min="4" max="4" width="18.125" style="105" bestFit="1" customWidth="1"/>
    <col min="5" max="5" width="16.375" style="95" bestFit="1" customWidth="1"/>
    <col min="6" max="6" width="16.875" style="95" bestFit="1" customWidth="1"/>
    <col min="7" max="7" width="12.375" style="95" bestFit="1" customWidth="1"/>
    <col min="8" max="8" width="9" style="95"/>
    <col min="9" max="9" width="32" style="95" customWidth="1"/>
    <col min="10" max="16384" width="9" style="95"/>
  </cols>
  <sheetData>
    <row r="1" spans="1:10" x14ac:dyDescent="0.25">
      <c r="I1" s="106" t="s">
        <v>624</v>
      </c>
    </row>
    <row r="2" spans="1:10" ht="93.75" customHeight="1" thickBot="1" x14ac:dyDescent="0.3">
      <c r="I2" s="107"/>
    </row>
    <row r="3" spans="1:10" ht="16.5" thickBot="1" x14ac:dyDescent="0.3">
      <c r="A3" s="105" t="s">
        <v>625</v>
      </c>
    </row>
    <row r="4" spans="1:10" ht="16.5" thickBot="1" x14ac:dyDescent="0.3">
      <c r="A4" s="105" t="s">
        <v>626</v>
      </c>
      <c r="I4" s="108" t="s">
        <v>627</v>
      </c>
      <c r="J4" s="109"/>
    </row>
    <row r="5" spans="1:10" x14ac:dyDescent="0.25">
      <c r="A5" s="110" t="s">
        <v>628</v>
      </c>
      <c r="B5" s="111"/>
      <c r="D5" s="105" t="s">
        <v>629</v>
      </c>
    </row>
    <row r="6" spans="1:10" ht="16.5" thickBot="1" x14ac:dyDescent="0.3">
      <c r="A6" s="112" t="s">
        <v>630</v>
      </c>
      <c r="B6" s="113"/>
    </row>
    <row r="7" spans="1:10" x14ac:dyDescent="0.25">
      <c r="C7" s="110"/>
      <c r="D7" s="114" t="s">
        <v>631</v>
      </c>
      <c r="E7" s="115" t="s">
        <v>632</v>
      </c>
      <c r="F7" s="115" t="s">
        <v>633</v>
      </c>
      <c r="G7" s="116" t="s">
        <v>634</v>
      </c>
    </row>
    <row r="8" spans="1:10" x14ac:dyDescent="0.25">
      <c r="C8" s="117" t="s">
        <v>635</v>
      </c>
      <c r="D8" s="118"/>
      <c r="E8" s="100"/>
      <c r="F8" s="100"/>
      <c r="G8" s="119"/>
    </row>
    <row r="9" spans="1:10" x14ac:dyDescent="0.25">
      <c r="C9" s="117" t="s">
        <v>636</v>
      </c>
      <c r="D9" s="118"/>
      <c r="E9" s="100"/>
      <c r="F9" s="100"/>
      <c r="G9" s="119"/>
    </row>
    <row r="10" spans="1:10" x14ac:dyDescent="0.25">
      <c r="C10" s="117" t="s">
        <v>637</v>
      </c>
      <c r="D10" s="118"/>
      <c r="E10" s="100"/>
      <c r="F10" s="100"/>
      <c r="G10" s="119"/>
    </row>
    <row r="11" spans="1:10" x14ac:dyDescent="0.25">
      <c r="C11" s="117" t="s">
        <v>634</v>
      </c>
      <c r="D11" s="118"/>
      <c r="E11" s="100"/>
      <c r="F11" s="100"/>
      <c r="G11" s="119"/>
    </row>
    <row r="12" spans="1:10" x14ac:dyDescent="0.25">
      <c r="C12" s="120"/>
      <c r="D12" s="121" t="s">
        <v>631</v>
      </c>
      <c r="E12" s="122" t="s">
        <v>632</v>
      </c>
      <c r="F12" s="122" t="s">
        <v>633</v>
      </c>
      <c r="G12" s="123" t="s">
        <v>634</v>
      </c>
    </row>
    <row r="13" spans="1:10" x14ac:dyDescent="0.25">
      <c r="C13" s="117" t="s">
        <v>638</v>
      </c>
      <c r="D13" s="118"/>
      <c r="E13" s="100"/>
      <c r="F13" s="100"/>
      <c r="G13" s="119"/>
    </row>
    <row r="14" spans="1:10" x14ac:dyDescent="0.25">
      <c r="C14" s="117" t="s">
        <v>636</v>
      </c>
      <c r="D14" s="118"/>
      <c r="E14" s="100"/>
      <c r="F14" s="100"/>
      <c r="G14" s="119"/>
    </row>
    <row r="15" spans="1:10" x14ac:dyDescent="0.25">
      <c r="C15" s="117" t="s">
        <v>637</v>
      </c>
      <c r="D15" s="118"/>
      <c r="E15" s="100"/>
      <c r="F15" s="100"/>
      <c r="G15" s="119"/>
    </row>
    <row r="16" spans="1:10" x14ac:dyDescent="0.25">
      <c r="C16" s="117" t="s">
        <v>634</v>
      </c>
      <c r="D16" s="118"/>
      <c r="E16" s="100"/>
      <c r="F16" s="100"/>
      <c r="G16" s="119"/>
    </row>
    <row r="17" spans="1:7" x14ac:dyDescent="0.25">
      <c r="C17" s="120"/>
      <c r="D17" s="121" t="s">
        <v>631</v>
      </c>
      <c r="E17" s="122" t="s">
        <v>632</v>
      </c>
      <c r="F17" s="122" t="s">
        <v>633</v>
      </c>
      <c r="G17" s="123" t="s">
        <v>634</v>
      </c>
    </row>
    <row r="18" spans="1:7" x14ac:dyDescent="0.25">
      <c r="C18" s="117" t="s">
        <v>639</v>
      </c>
      <c r="D18" s="118"/>
      <c r="E18" s="100"/>
      <c r="F18" s="100"/>
      <c r="G18" s="119"/>
    </row>
    <row r="19" spans="1:7" x14ac:dyDescent="0.25">
      <c r="C19" s="117" t="s">
        <v>636</v>
      </c>
      <c r="D19" s="118"/>
      <c r="E19" s="100"/>
      <c r="F19" s="100"/>
      <c r="G19" s="119"/>
    </row>
    <row r="20" spans="1:7" x14ac:dyDescent="0.25">
      <c r="C20" s="117" t="s">
        <v>637</v>
      </c>
      <c r="D20" s="118"/>
      <c r="E20" s="100"/>
      <c r="F20" s="100"/>
      <c r="G20" s="119"/>
    </row>
    <row r="21" spans="1:7" x14ac:dyDescent="0.25">
      <c r="C21" s="117" t="s">
        <v>634</v>
      </c>
      <c r="D21" s="118"/>
      <c r="E21" s="100"/>
      <c r="F21" s="100"/>
      <c r="G21" s="119"/>
    </row>
    <row r="22" spans="1:7" ht="16.5" thickBot="1" x14ac:dyDescent="0.3">
      <c r="C22" s="112" t="s">
        <v>634</v>
      </c>
      <c r="D22" s="124"/>
      <c r="E22" s="125"/>
      <c r="F22" s="125"/>
      <c r="G22" s="126"/>
    </row>
    <row r="23" spans="1:7" x14ac:dyDescent="0.25">
      <c r="C23" s="127"/>
      <c r="D23" s="127"/>
      <c r="E23" s="128"/>
      <c r="F23" s="128"/>
      <c r="G23" s="128"/>
    </row>
    <row r="24" spans="1:7" x14ac:dyDescent="0.25">
      <c r="C24" s="127"/>
      <c r="D24" s="127"/>
      <c r="E24" s="128"/>
      <c r="F24" s="128"/>
      <c r="G24" s="128"/>
    </row>
    <row r="27" spans="1:7" x14ac:dyDescent="0.25">
      <c r="A27" s="105" t="s">
        <v>640</v>
      </c>
    </row>
    <row r="28" spans="1:7" x14ac:dyDescent="0.25">
      <c r="B28" s="105" t="s">
        <v>641</v>
      </c>
      <c r="C28" s="129" t="s">
        <v>642</v>
      </c>
    </row>
    <row r="29" spans="1:7" x14ac:dyDescent="0.25">
      <c r="B29" s="105" t="s">
        <v>643</v>
      </c>
      <c r="C29" s="129" t="s">
        <v>644</v>
      </c>
      <c r="D29" s="105" t="s">
        <v>645</v>
      </c>
    </row>
    <row r="30" spans="1:7" x14ac:dyDescent="0.25">
      <c r="B30" s="105" t="s">
        <v>646</v>
      </c>
      <c r="C30" s="129" t="s">
        <v>647</v>
      </c>
      <c r="D30" s="105" t="s">
        <v>648</v>
      </c>
    </row>
    <row r="31" spans="1:7" x14ac:dyDescent="0.25">
      <c r="B31" s="105" t="s">
        <v>649</v>
      </c>
      <c r="C31" s="130">
        <f>COUNTA(A43:A260)</f>
        <v>7</v>
      </c>
      <c r="D31" s="105" t="s">
        <v>650</v>
      </c>
    </row>
    <row r="32" spans="1:7" x14ac:dyDescent="0.25">
      <c r="B32" s="105" t="s">
        <v>651</v>
      </c>
      <c r="C32" s="130">
        <f>COUNTA(B43:B260)</f>
        <v>9</v>
      </c>
      <c r="D32" s="105" t="s">
        <v>652</v>
      </c>
    </row>
    <row r="33" spans="1:10" x14ac:dyDescent="0.25">
      <c r="B33" s="105" t="s">
        <v>653</v>
      </c>
      <c r="C33" s="130">
        <f>COUNTA(C43:C260)</f>
        <v>3</v>
      </c>
    </row>
    <row r="34" spans="1:10" x14ac:dyDescent="0.25">
      <c r="B34" s="105" t="s">
        <v>654</v>
      </c>
      <c r="C34" s="129" t="s">
        <v>655</v>
      </c>
      <c r="D34" s="105" t="s">
        <v>656</v>
      </c>
    </row>
    <row r="35" spans="1:10" x14ac:dyDescent="0.25">
      <c r="B35" s="105" t="s">
        <v>657</v>
      </c>
      <c r="C35" s="129" t="s">
        <v>703</v>
      </c>
      <c r="D35" s="105" t="s">
        <v>700</v>
      </c>
    </row>
    <row r="36" spans="1:10" x14ac:dyDescent="0.25">
      <c r="B36" s="105" t="s">
        <v>659</v>
      </c>
      <c r="C36" s="131" t="s">
        <v>41</v>
      </c>
      <c r="D36" s="105" t="s">
        <v>660</v>
      </c>
    </row>
    <row r="37" spans="1:10" x14ac:dyDescent="0.25">
      <c r="B37" s="105" t="s">
        <v>661</v>
      </c>
      <c r="C37" s="132"/>
      <c r="D37" s="105" t="s">
        <v>662</v>
      </c>
    </row>
    <row r="38" spans="1:10" x14ac:dyDescent="0.25">
      <c r="B38" s="105" t="s">
        <v>663</v>
      </c>
      <c r="C38" s="133"/>
      <c r="D38" s="105" t="s">
        <v>664</v>
      </c>
    </row>
    <row r="41" spans="1:10" x14ac:dyDescent="0.25">
      <c r="A41" s="118" t="s">
        <v>665</v>
      </c>
      <c r="B41" s="118" t="s">
        <v>666</v>
      </c>
      <c r="C41" s="118" t="s">
        <v>667</v>
      </c>
      <c r="D41" s="118" t="s">
        <v>681</v>
      </c>
      <c r="E41" s="100" t="s">
        <v>682</v>
      </c>
      <c r="F41" s="100" t="s">
        <v>683</v>
      </c>
      <c r="G41" s="100" t="s">
        <v>684</v>
      </c>
      <c r="H41" s="100" t="s">
        <v>685</v>
      </c>
      <c r="I41" s="100" t="s">
        <v>686</v>
      </c>
      <c r="J41" s="95" t="s">
        <v>687</v>
      </c>
    </row>
    <row r="42" spans="1:10" x14ac:dyDescent="0.25">
      <c r="A42" s="118" t="s">
        <v>668</v>
      </c>
      <c r="B42" s="118" t="s">
        <v>669</v>
      </c>
      <c r="C42" s="118" t="s">
        <v>670</v>
      </c>
      <c r="D42" s="118" t="s">
        <v>688</v>
      </c>
      <c r="E42" s="100" t="s">
        <v>696</v>
      </c>
      <c r="F42" s="100" t="s">
        <v>697</v>
      </c>
      <c r="G42" s="100" t="s">
        <v>698</v>
      </c>
      <c r="H42" s="100" t="s">
        <v>699</v>
      </c>
      <c r="I42" s="100"/>
    </row>
    <row r="43" spans="1:10" x14ac:dyDescent="0.25">
      <c r="A43" s="134" t="s">
        <v>671</v>
      </c>
      <c r="B43" s="134" t="s">
        <v>689</v>
      </c>
      <c r="C43" s="134" t="s">
        <v>672</v>
      </c>
      <c r="D43" s="134"/>
      <c r="E43" s="99"/>
      <c r="F43" s="99"/>
      <c r="G43" s="99"/>
      <c r="H43" s="99"/>
      <c r="I43" s="99"/>
    </row>
    <row r="44" spans="1:10" x14ac:dyDescent="0.25">
      <c r="A44" s="134" t="s">
        <v>673</v>
      </c>
      <c r="B44" s="134" t="s">
        <v>690</v>
      </c>
      <c r="C44" s="134" t="s">
        <v>674</v>
      </c>
      <c r="D44" s="134"/>
      <c r="E44" s="99"/>
      <c r="F44" s="99"/>
      <c r="G44" s="99"/>
      <c r="H44" s="99"/>
      <c r="I44" s="99"/>
    </row>
    <row r="45" spans="1:10" x14ac:dyDescent="0.25">
      <c r="A45" s="134" t="s">
        <v>675</v>
      </c>
      <c r="B45" s="134" t="s">
        <v>679</v>
      </c>
      <c r="C45" s="134" t="s">
        <v>676</v>
      </c>
      <c r="D45" s="134"/>
      <c r="E45" s="99"/>
      <c r="F45" s="99"/>
      <c r="G45" s="99"/>
      <c r="H45" s="99"/>
      <c r="I45" s="99"/>
    </row>
    <row r="46" spans="1:10" x14ac:dyDescent="0.25">
      <c r="A46" s="134" t="s">
        <v>677</v>
      </c>
      <c r="B46" s="134" t="s">
        <v>139</v>
      </c>
      <c r="C46" s="134"/>
      <c r="D46" s="134"/>
      <c r="E46" s="99"/>
      <c r="F46" s="99"/>
      <c r="G46" s="99"/>
      <c r="H46" s="99"/>
      <c r="I46" s="99"/>
    </row>
    <row r="47" spans="1:10" x14ac:dyDescent="0.25">
      <c r="A47" s="134" t="s">
        <v>678</v>
      </c>
      <c r="B47" s="134" t="s">
        <v>691</v>
      </c>
      <c r="C47" s="134"/>
      <c r="D47" s="134"/>
      <c r="E47" s="99"/>
      <c r="F47" s="99"/>
      <c r="G47" s="99"/>
      <c r="H47" s="99"/>
      <c r="I47" s="99"/>
    </row>
    <row r="48" spans="1:10" x14ac:dyDescent="0.25">
      <c r="A48" s="134" t="s">
        <v>679</v>
      </c>
      <c r="B48" s="134" t="s">
        <v>692</v>
      </c>
      <c r="C48" s="134"/>
      <c r="D48" s="134"/>
      <c r="E48" s="99"/>
      <c r="F48" s="99"/>
      <c r="G48" s="99"/>
      <c r="H48" s="99"/>
      <c r="I48" s="99"/>
    </row>
    <row r="49" spans="1:9" x14ac:dyDescent="0.25">
      <c r="A49" s="134" t="s">
        <v>680</v>
      </c>
      <c r="B49" s="134" t="s">
        <v>693</v>
      </c>
      <c r="C49" s="134"/>
      <c r="D49" s="134"/>
      <c r="E49" s="99"/>
      <c r="F49" s="99"/>
      <c r="G49" s="99"/>
      <c r="H49" s="99"/>
      <c r="I49" s="99"/>
    </row>
    <row r="50" spans="1:9" x14ac:dyDescent="0.25">
      <c r="A50" s="134"/>
      <c r="B50" s="134" t="s">
        <v>694</v>
      </c>
      <c r="C50" s="134"/>
      <c r="D50" s="134"/>
      <c r="E50" s="99"/>
      <c r="F50" s="99"/>
      <c r="G50" s="99"/>
      <c r="H50" s="99"/>
      <c r="I50" s="99"/>
    </row>
    <row r="51" spans="1:9" x14ac:dyDescent="0.25">
      <c r="A51" s="134"/>
      <c r="B51" s="134" t="s">
        <v>695</v>
      </c>
      <c r="C51" s="134"/>
      <c r="D51" s="134"/>
      <c r="E51" s="99"/>
      <c r="F51" s="99"/>
      <c r="G51" s="99"/>
      <c r="H51" s="99"/>
      <c r="I51" s="99"/>
    </row>
    <row r="52" spans="1:9" x14ac:dyDescent="0.25">
      <c r="A52" s="134"/>
      <c r="B52" s="134"/>
      <c r="C52" s="134"/>
      <c r="D52" s="134"/>
      <c r="E52" s="99"/>
      <c r="F52" s="99"/>
      <c r="G52" s="99"/>
      <c r="H52" s="99"/>
      <c r="I52" s="99"/>
    </row>
    <row r="53" spans="1:9" x14ac:dyDescent="0.25">
      <c r="A53" s="134"/>
      <c r="B53" s="134"/>
      <c r="C53" s="134"/>
      <c r="D53" s="134"/>
      <c r="E53" s="99"/>
      <c r="F53" s="99"/>
      <c r="G53" s="99"/>
      <c r="H53" s="99"/>
      <c r="I53" s="99"/>
    </row>
    <row r="54" spans="1:9" x14ac:dyDescent="0.25">
      <c r="A54" s="134"/>
      <c r="B54" s="134"/>
      <c r="C54" s="134"/>
      <c r="D54" s="134"/>
      <c r="E54" s="99"/>
      <c r="F54" s="99"/>
      <c r="G54" s="99"/>
      <c r="H54" s="99"/>
      <c r="I54" s="99"/>
    </row>
    <row r="55" spans="1:9" x14ac:dyDescent="0.25">
      <c r="A55" s="134"/>
      <c r="B55" s="134"/>
      <c r="C55" s="134"/>
      <c r="D55" s="134"/>
      <c r="E55" s="99"/>
      <c r="F55" s="99"/>
      <c r="G55" s="99"/>
      <c r="H55" s="99"/>
      <c r="I55" s="99"/>
    </row>
    <row r="56" spans="1:9" x14ac:dyDescent="0.25">
      <c r="A56" s="134"/>
      <c r="B56" s="134"/>
      <c r="C56" s="134"/>
      <c r="D56" s="134"/>
      <c r="E56" s="99"/>
      <c r="F56" s="99"/>
      <c r="G56" s="99"/>
      <c r="H56" s="99"/>
      <c r="I56" s="99"/>
    </row>
    <row r="57" spans="1:9" x14ac:dyDescent="0.25">
      <c r="A57" s="134"/>
      <c r="B57" s="134"/>
      <c r="C57" s="134"/>
      <c r="D57" s="134"/>
      <c r="E57" s="99"/>
      <c r="F57" s="99"/>
      <c r="G57" s="99"/>
      <c r="H57" s="99"/>
      <c r="I57" s="99"/>
    </row>
    <row r="58" spans="1:9" x14ac:dyDescent="0.25">
      <c r="A58" s="134"/>
      <c r="B58" s="134"/>
      <c r="C58" s="134"/>
      <c r="D58" s="134"/>
      <c r="E58" s="99"/>
      <c r="F58" s="99"/>
      <c r="G58" s="99"/>
      <c r="H58" s="99"/>
      <c r="I58" s="99"/>
    </row>
    <row r="59" spans="1:9" x14ac:dyDescent="0.25">
      <c r="A59" s="134"/>
      <c r="B59" s="134"/>
      <c r="C59" s="134"/>
      <c r="D59" s="134"/>
      <c r="E59" s="99"/>
      <c r="F59" s="99"/>
      <c r="G59" s="99"/>
      <c r="H59" s="99"/>
      <c r="I59" s="99"/>
    </row>
    <row r="60" spans="1:9" x14ac:dyDescent="0.25">
      <c r="A60" s="134"/>
      <c r="B60" s="134"/>
      <c r="C60" s="134"/>
      <c r="D60" s="134"/>
      <c r="E60" s="99"/>
      <c r="F60" s="99"/>
      <c r="G60" s="99"/>
      <c r="H60" s="99"/>
      <c r="I60" s="99"/>
    </row>
    <row r="61" spans="1:9" x14ac:dyDescent="0.25">
      <c r="A61" s="134"/>
      <c r="B61" s="134"/>
      <c r="C61" s="134"/>
      <c r="D61" s="134"/>
      <c r="E61" s="99"/>
      <c r="F61" s="99"/>
      <c r="G61" s="99"/>
      <c r="H61" s="99"/>
      <c r="I61" s="99"/>
    </row>
    <row r="62" spans="1:9" x14ac:dyDescent="0.25">
      <c r="A62" s="134"/>
      <c r="B62" s="134"/>
      <c r="C62" s="134"/>
      <c r="D62" s="134"/>
      <c r="E62" s="99"/>
      <c r="F62" s="99"/>
      <c r="G62" s="99"/>
      <c r="H62" s="99"/>
      <c r="I62" s="99"/>
    </row>
    <row r="63" spans="1:9" x14ac:dyDescent="0.25">
      <c r="A63" s="134"/>
      <c r="B63" s="134"/>
      <c r="C63" s="134"/>
      <c r="D63" s="134"/>
      <c r="E63" s="99"/>
      <c r="F63" s="99"/>
      <c r="G63" s="99"/>
      <c r="H63" s="99"/>
      <c r="I63" s="99"/>
    </row>
    <row r="64" spans="1:9" x14ac:dyDescent="0.25">
      <c r="A64" s="134"/>
      <c r="B64" s="134"/>
      <c r="C64" s="134"/>
      <c r="D64" s="134"/>
      <c r="E64" s="99"/>
      <c r="F64" s="99"/>
      <c r="G64" s="99"/>
      <c r="H64" s="99"/>
      <c r="I64" s="99"/>
    </row>
    <row r="65" spans="1:9" x14ac:dyDescent="0.25">
      <c r="A65" s="134"/>
      <c r="B65" s="134"/>
      <c r="C65" s="134"/>
      <c r="D65" s="134"/>
      <c r="E65" s="99"/>
      <c r="F65" s="99"/>
      <c r="G65" s="99"/>
      <c r="H65" s="99"/>
      <c r="I65" s="99"/>
    </row>
    <row r="66" spans="1:9" x14ac:dyDescent="0.25">
      <c r="A66" s="134"/>
      <c r="B66" s="134"/>
      <c r="C66" s="134"/>
      <c r="D66" s="134"/>
      <c r="E66" s="99"/>
      <c r="F66" s="99"/>
      <c r="G66" s="99"/>
      <c r="H66" s="99"/>
      <c r="I66" s="99"/>
    </row>
    <row r="67" spans="1:9" x14ac:dyDescent="0.25">
      <c r="A67" s="134"/>
      <c r="B67" s="134"/>
      <c r="C67" s="134"/>
      <c r="D67" s="134"/>
      <c r="E67" s="99"/>
      <c r="F67" s="99"/>
      <c r="G67" s="99"/>
      <c r="H67" s="99"/>
      <c r="I67" s="99"/>
    </row>
    <row r="68" spans="1:9" x14ac:dyDescent="0.25">
      <c r="A68" s="134"/>
      <c r="B68" s="134"/>
      <c r="C68" s="134"/>
      <c r="D68" s="134"/>
      <c r="E68" s="99"/>
      <c r="F68" s="99"/>
      <c r="G68" s="99"/>
      <c r="H68" s="99"/>
      <c r="I68" s="99"/>
    </row>
    <row r="69" spans="1:9" x14ac:dyDescent="0.25">
      <c r="A69" s="134"/>
      <c r="B69" s="134"/>
      <c r="C69" s="134"/>
      <c r="D69" s="134"/>
      <c r="E69" s="99"/>
      <c r="F69" s="99"/>
      <c r="G69" s="99"/>
      <c r="H69" s="99"/>
      <c r="I69" s="99"/>
    </row>
    <row r="70" spans="1:9" x14ac:dyDescent="0.25">
      <c r="A70" s="134"/>
      <c r="B70" s="134"/>
      <c r="C70" s="134"/>
      <c r="D70" s="134"/>
      <c r="E70" s="99"/>
      <c r="F70" s="99"/>
      <c r="G70" s="99"/>
      <c r="H70" s="99"/>
      <c r="I70" s="99"/>
    </row>
    <row r="71" spans="1:9" x14ac:dyDescent="0.25">
      <c r="A71" s="134"/>
      <c r="B71" s="134"/>
      <c r="C71" s="134"/>
      <c r="D71" s="134"/>
      <c r="E71" s="99"/>
      <c r="F71" s="99"/>
      <c r="G71" s="99"/>
      <c r="H71" s="99"/>
      <c r="I71" s="99"/>
    </row>
    <row r="72" spans="1:9" x14ac:dyDescent="0.25">
      <c r="A72" s="134"/>
      <c r="B72" s="134"/>
      <c r="C72" s="134"/>
      <c r="D72" s="134"/>
      <c r="E72" s="99"/>
      <c r="F72" s="99"/>
      <c r="G72" s="99"/>
      <c r="H72" s="99"/>
      <c r="I72" s="99"/>
    </row>
    <row r="73" spans="1:9" x14ac:dyDescent="0.25">
      <c r="A73" s="134"/>
      <c r="B73" s="134"/>
      <c r="C73" s="134"/>
      <c r="D73" s="134"/>
      <c r="E73" s="99"/>
      <c r="F73" s="99"/>
      <c r="G73" s="99"/>
      <c r="H73" s="99"/>
      <c r="I73" s="99"/>
    </row>
    <row r="74" spans="1:9" x14ac:dyDescent="0.25">
      <c r="A74" s="134"/>
      <c r="B74" s="134"/>
      <c r="C74" s="134"/>
      <c r="D74" s="134"/>
      <c r="E74" s="99"/>
      <c r="F74" s="99"/>
      <c r="G74" s="99"/>
      <c r="H74" s="99"/>
      <c r="I74" s="99"/>
    </row>
    <row r="75" spans="1:9" x14ac:dyDescent="0.25">
      <c r="A75" s="134"/>
      <c r="B75" s="134"/>
      <c r="C75" s="134"/>
      <c r="D75" s="134"/>
      <c r="E75" s="99"/>
      <c r="F75" s="99"/>
      <c r="G75" s="99"/>
      <c r="H75" s="99"/>
      <c r="I75" s="99"/>
    </row>
    <row r="76" spans="1:9" x14ac:dyDescent="0.25">
      <c r="A76" s="134"/>
      <c r="B76" s="134"/>
      <c r="C76" s="134"/>
      <c r="D76" s="134"/>
      <c r="E76" s="99"/>
      <c r="F76" s="99"/>
      <c r="G76" s="99"/>
      <c r="H76" s="99"/>
      <c r="I76" s="99"/>
    </row>
    <row r="77" spans="1:9" x14ac:dyDescent="0.25">
      <c r="A77" s="134"/>
      <c r="B77" s="134"/>
      <c r="C77" s="134"/>
      <c r="D77" s="134"/>
      <c r="E77" s="99"/>
      <c r="F77" s="99"/>
      <c r="G77" s="99"/>
      <c r="H77" s="99"/>
      <c r="I77" s="99"/>
    </row>
    <row r="78" spans="1:9" x14ac:dyDescent="0.25">
      <c r="A78" s="134"/>
      <c r="B78" s="134"/>
      <c r="C78" s="134"/>
      <c r="D78" s="134"/>
      <c r="E78" s="99"/>
      <c r="F78" s="99"/>
      <c r="G78" s="99"/>
      <c r="H78" s="99"/>
      <c r="I78" s="99"/>
    </row>
    <row r="79" spans="1:9" x14ac:dyDescent="0.25">
      <c r="A79" s="134"/>
      <c r="B79" s="134"/>
      <c r="C79" s="134"/>
      <c r="D79" s="134"/>
      <c r="E79" s="99"/>
      <c r="F79" s="99"/>
      <c r="G79" s="99"/>
      <c r="H79" s="99"/>
      <c r="I79" s="99"/>
    </row>
    <row r="80" spans="1:9" x14ac:dyDescent="0.25">
      <c r="A80" s="134"/>
      <c r="B80" s="134"/>
      <c r="C80" s="134"/>
      <c r="D80" s="134"/>
      <c r="E80" s="99"/>
      <c r="F80" s="99"/>
      <c r="G80" s="99"/>
      <c r="H80" s="99"/>
      <c r="I80" s="99"/>
    </row>
    <row r="81" spans="1:9" x14ac:dyDescent="0.25">
      <c r="A81" s="134"/>
      <c r="B81" s="134"/>
      <c r="C81" s="134"/>
      <c r="D81" s="134"/>
      <c r="E81" s="99"/>
      <c r="F81" s="99"/>
      <c r="G81" s="99"/>
      <c r="H81" s="99"/>
      <c r="I81" s="99"/>
    </row>
    <row r="82" spans="1:9" x14ac:dyDescent="0.25">
      <c r="A82" s="134"/>
      <c r="B82" s="134"/>
      <c r="C82" s="134"/>
      <c r="D82" s="134"/>
      <c r="E82" s="99"/>
      <c r="F82" s="99"/>
      <c r="G82" s="99"/>
      <c r="H82" s="99"/>
      <c r="I82" s="99"/>
    </row>
    <row r="83" spans="1:9" x14ac:dyDescent="0.25">
      <c r="A83" s="134"/>
      <c r="B83" s="134"/>
      <c r="C83" s="134"/>
      <c r="D83" s="134"/>
      <c r="E83" s="99"/>
      <c r="F83" s="99"/>
      <c r="G83" s="99"/>
      <c r="H83" s="99"/>
      <c r="I83" s="99"/>
    </row>
    <row r="84" spans="1:9" x14ac:dyDescent="0.25">
      <c r="A84" s="134"/>
      <c r="B84" s="134"/>
      <c r="C84" s="134"/>
      <c r="D84" s="134"/>
      <c r="E84" s="99"/>
      <c r="F84" s="99"/>
      <c r="G84" s="99"/>
      <c r="H84" s="99"/>
      <c r="I84" s="99"/>
    </row>
    <row r="85" spans="1:9" x14ac:dyDescent="0.25">
      <c r="A85" s="134"/>
      <c r="B85" s="134"/>
      <c r="C85" s="134"/>
      <c r="D85" s="134"/>
      <c r="E85" s="99"/>
      <c r="F85" s="99"/>
      <c r="G85" s="99"/>
      <c r="H85" s="99"/>
      <c r="I85" s="99"/>
    </row>
    <row r="86" spans="1:9" x14ac:dyDescent="0.25">
      <c r="A86" s="134"/>
      <c r="B86" s="134"/>
      <c r="C86" s="134"/>
      <c r="D86" s="134"/>
      <c r="E86" s="99"/>
      <c r="F86" s="99"/>
      <c r="G86" s="99"/>
      <c r="H86" s="99"/>
      <c r="I86" s="99"/>
    </row>
    <row r="87" spans="1:9" x14ac:dyDescent="0.25">
      <c r="A87" s="134"/>
      <c r="B87" s="134"/>
      <c r="C87" s="134"/>
      <c r="D87" s="134"/>
      <c r="E87" s="99"/>
      <c r="F87" s="99"/>
      <c r="G87" s="99"/>
      <c r="H87" s="99"/>
      <c r="I87" s="99"/>
    </row>
    <row r="88" spans="1:9" x14ac:dyDescent="0.25">
      <c r="A88" s="134"/>
      <c r="B88" s="134"/>
      <c r="C88" s="134"/>
      <c r="D88" s="134"/>
      <c r="E88" s="99"/>
      <c r="F88" s="99"/>
      <c r="G88" s="99"/>
      <c r="H88" s="99"/>
      <c r="I88" s="99"/>
    </row>
    <row r="89" spans="1:9" x14ac:dyDescent="0.25">
      <c r="A89" s="134"/>
      <c r="B89" s="134"/>
      <c r="C89" s="134"/>
      <c r="D89" s="134"/>
      <c r="E89" s="99"/>
      <c r="F89" s="99"/>
      <c r="G89" s="99"/>
      <c r="H89" s="99"/>
      <c r="I89" s="99"/>
    </row>
    <row r="90" spans="1:9" x14ac:dyDescent="0.25">
      <c r="A90" s="134"/>
      <c r="B90" s="134"/>
      <c r="C90" s="134"/>
      <c r="D90" s="134"/>
      <c r="E90" s="99"/>
      <c r="F90" s="99"/>
      <c r="G90" s="99"/>
      <c r="H90" s="99"/>
      <c r="I90" s="99"/>
    </row>
    <row r="91" spans="1:9" x14ac:dyDescent="0.25">
      <c r="A91" s="134"/>
      <c r="B91" s="134"/>
      <c r="C91" s="134"/>
      <c r="D91" s="134"/>
      <c r="E91" s="99"/>
      <c r="F91" s="99"/>
      <c r="G91" s="99"/>
      <c r="H91" s="99"/>
      <c r="I91" s="99"/>
    </row>
    <row r="92" spans="1:9" x14ac:dyDescent="0.25">
      <c r="A92" s="134"/>
      <c r="B92" s="134"/>
      <c r="C92" s="134"/>
      <c r="D92" s="134"/>
      <c r="E92" s="99"/>
      <c r="F92" s="99"/>
      <c r="G92" s="99"/>
      <c r="H92" s="99"/>
      <c r="I92" s="99"/>
    </row>
    <row r="93" spans="1:9" x14ac:dyDescent="0.25">
      <c r="A93" s="134"/>
      <c r="B93" s="134"/>
      <c r="C93" s="134"/>
      <c r="D93" s="134"/>
      <c r="E93" s="99"/>
      <c r="F93" s="99"/>
      <c r="G93" s="99"/>
      <c r="H93" s="99"/>
      <c r="I93" s="99"/>
    </row>
    <row r="94" spans="1:9" x14ac:dyDescent="0.25">
      <c r="A94" s="134"/>
      <c r="B94" s="134"/>
      <c r="C94" s="134"/>
      <c r="D94" s="134"/>
      <c r="E94" s="99"/>
      <c r="F94" s="99"/>
      <c r="G94" s="99"/>
      <c r="H94" s="99"/>
      <c r="I94" s="99"/>
    </row>
    <row r="95" spans="1:9" x14ac:dyDescent="0.25">
      <c r="A95" s="134"/>
      <c r="B95" s="134"/>
      <c r="C95" s="134"/>
      <c r="D95" s="134"/>
      <c r="E95" s="99"/>
      <c r="F95" s="99"/>
      <c r="G95" s="99"/>
      <c r="H95" s="99"/>
      <c r="I95" s="99"/>
    </row>
    <row r="96" spans="1:9" x14ac:dyDescent="0.25">
      <c r="A96" s="134"/>
      <c r="B96" s="134"/>
      <c r="C96" s="134"/>
      <c r="D96" s="134"/>
      <c r="E96" s="99"/>
      <c r="F96" s="99"/>
      <c r="G96" s="99"/>
      <c r="H96" s="99"/>
      <c r="I96" s="99"/>
    </row>
    <row r="97" spans="1:9" x14ac:dyDescent="0.25">
      <c r="A97" s="134"/>
      <c r="B97" s="134"/>
      <c r="C97" s="134"/>
      <c r="D97" s="134"/>
      <c r="E97" s="99"/>
      <c r="F97" s="99"/>
      <c r="G97" s="99"/>
      <c r="H97" s="99"/>
      <c r="I97" s="99"/>
    </row>
    <row r="98" spans="1:9" x14ac:dyDescent="0.25">
      <c r="A98" s="134"/>
      <c r="B98" s="134"/>
      <c r="C98" s="134"/>
      <c r="D98" s="134"/>
      <c r="E98" s="99"/>
      <c r="F98" s="99"/>
      <c r="G98" s="99"/>
      <c r="H98" s="99"/>
      <c r="I98" s="99"/>
    </row>
    <row r="99" spans="1:9" x14ac:dyDescent="0.25">
      <c r="A99" s="134"/>
      <c r="B99" s="134"/>
      <c r="C99" s="134"/>
      <c r="D99" s="134"/>
      <c r="E99" s="99"/>
      <c r="F99" s="99"/>
      <c r="G99" s="99"/>
      <c r="H99" s="99"/>
      <c r="I99" s="99"/>
    </row>
    <row r="100" spans="1:9" x14ac:dyDescent="0.25">
      <c r="A100" s="134"/>
      <c r="B100" s="134"/>
      <c r="C100" s="134"/>
      <c r="D100" s="134"/>
      <c r="E100" s="99"/>
      <c r="F100" s="99"/>
      <c r="G100" s="99"/>
      <c r="H100" s="99"/>
      <c r="I100" s="99"/>
    </row>
    <row r="101" spans="1:9" x14ac:dyDescent="0.25">
      <c r="A101" s="134"/>
      <c r="B101" s="134"/>
      <c r="C101" s="134"/>
      <c r="D101" s="134"/>
      <c r="E101" s="99"/>
      <c r="F101" s="99"/>
      <c r="G101" s="99"/>
      <c r="H101" s="99"/>
      <c r="I101" s="99"/>
    </row>
    <row r="102" spans="1:9" x14ac:dyDescent="0.25">
      <c r="A102" s="134"/>
      <c r="B102" s="134"/>
      <c r="C102" s="134"/>
      <c r="D102" s="134"/>
      <c r="E102" s="99"/>
      <c r="F102" s="99"/>
      <c r="G102" s="99"/>
      <c r="H102" s="99"/>
      <c r="I102" s="99"/>
    </row>
    <row r="103" spans="1:9" x14ac:dyDescent="0.25">
      <c r="A103" s="134"/>
      <c r="B103" s="134"/>
      <c r="C103" s="134"/>
      <c r="D103" s="134"/>
      <c r="E103" s="99"/>
      <c r="F103" s="99"/>
      <c r="G103" s="99"/>
      <c r="H103" s="99"/>
      <c r="I103" s="99"/>
    </row>
    <row r="104" spans="1:9" x14ac:dyDescent="0.25">
      <c r="A104" s="134"/>
      <c r="B104" s="134"/>
      <c r="C104" s="134"/>
      <c r="D104" s="134"/>
      <c r="E104" s="99"/>
      <c r="F104" s="99"/>
      <c r="G104" s="99"/>
      <c r="H104" s="99"/>
      <c r="I104" s="99"/>
    </row>
    <row r="105" spans="1:9" x14ac:dyDescent="0.25">
      <c r="A105" s="134"/>
      <c r="B105" s="134"/>
      <c r="C105" s="134"/>
      <c r="D105" s="134"/>
      <c r="E105" s="99"/>
      <c r="F105" s="99"/>
      <c r="G105" s="99"/>
      <c r="H105" s="99"/>
      <c r="I105" s="99"/>
    </row>
    <row r="106" spans="1:9" x14ac:dyDescent="0.25">
      <c r="A106" s="134"/>
      <c r="B106" s="134"/>
      <c r="C106" s="134"/>
      <c r="D106" s="134"/>
      <c r="E106" s="99"/>
      <c r="F106" s="99"/>
      <c r="G106" s="99"/>
      <c r="H106" s="99"/>
      <c r="I106" s="99"/>
    </row>
    <row r="107" spans="1:9" x14ac:dyDescent="0.25">
      <c r="A107" s="134"/>
      <c r="B107" s="134"/>
      <c r="C107" s="134"/>
      <c r="D107" s="134"/>
      <c r="E107" s="99"/>
      <c r="F107" s="99"/>
      <c r="G107" s="99"/>
      <c r="H107" s="99"/>
      <c r="I107" s="99"/>
    </row>
    <row r="108" spans="1:9" x14ac:dyDescent="0.25">
      <c r="A108" s="134"/>
      <c r="B108" s="134"/>
      <c r="C108" s="134"/>
      <c r="D108" s="134"/>
      <c r="E108" s="99"/>
      <c r="F108" s="99"/>
      <c r="G108" s="99"/>
      <c r="H108" s="99"/>
      <c r="I108" s="99"/>
    </row>
    <row r="109" spans="1:9" x14ac:dyDescent="0.25">
      <c r="A109" s="134"/>
      <c r="B109" s="134"/>
      <c r="C109" s="134"/>
      <c r="D109" s="134"/>
      <c r="E109" s="99"/>
      <c r="F109" s="99"/>
      <c r="G109" s="99"/>
      <c r="H109" s="99"/>
      <c r="I109" s="99"/>
    </row>
    <row r="110" spans="1:9" x14ac:dyDescent="0.25">
      <c r="A110" s="134"/>
      <c r="B110" s="134"/>
      <c r="C110" s="134"/>
      <c r="D110" s="134"/>
      <c r="E110" s="99"/>
      <c r="F110" s="99"/>
      <c r="G110" s="99"/>
      <c r="H110" s="99"/>
      <c r="I110" s="99"/>
    </row>
    <row r="111" spans="1:9" x14ac:dyDescent="0.25">
      <c r="A111" s="134"/>
      <c r="B111" s="134"/>
      <c r="C111" s="134"/>
      <c r="D111" s="134"/>
      <c r="E111" s="99"/>
      <c r="F111" s="99"/>
      <c r="G111" s="99"/>
      <c r="H111" s="99"/>
      <c r="I111" s="99"/>
    </row>
    <row r="112" spans="1:9" x14ac:dyDescent="0.25">
      <c r="A112" s="134"/>
      <c r="B112" s="134"/>
      <c r="C112" s="134"/>
      <c r="D112" s="134"/>
      <c r="E112" s="99"/>
      <c r="F112" s="99"/>
      <c r="G112" s="99"/>
      <c r="H112" s="99"/>
      <c r="I112" s="99"/>
    </row>
    <row r="113" spans="1:9" x14ac:dyDescent="0.25">
      <c r="A113" s="134"/>
      <c r="B113" s="134"/>
      <c r="C113" s="134"/>
      <c r="D113" s="134"/>
      <c r="E113" s="99"/>
      <c r="F113" s="99"/>
      <c r="G113" s="99"/>
      <c r="H113" s="99"/>
      <c r="I113" s="99"/>
    </row>
    <row r="114" spans="1:9" x14ac:dyDescent="0.25">
      <c r="A114" s="134"/>
      <c r="B114" s="134"/>
      <c r="C114" s="134"/>
      <c r="D114" s="134"/>
      <c r="E114" s="99"/>
      <c r="F114" s="99"/>
      <c r="G114" s="99"/>
      <c r="H114" s="99"/>
      <c r="I114" s="99"/>
    </row>
    <row r="115" spans="1:9" x14ac:dyDescent="0.25">
      <c r="A115" s="134"/>
      <c r="B115" s="134"/>
      <c r="C115" s="134"/>
      <c r="D115" s="134"/>
      <c r="E115" s="99"/>
      <c r="F115" s="99"/>
      <c r="G115" s="99"/>
      <c r="H115" s="99"/>
      <c r="I115" s="99"/>
    </row>
    <row r="116" spans="1:9" x14ac:dyDescent="0.25">
      <c r="A116" s="134"/>
      <c r="B116" s="134"/>
      <c r="C116" s="134"/>
      <c r="D116" s="134"/>
      <c r="E116" s="99"/>
      <c r="F116" s="99"/>
      <c r="G116" s="99"/>
      <c r="H116" s="99"/>
      <c r="I116" s="99"/>
    </row>
    <row r="117" spans="1:9" x14ac:dyDescent="0.25">
      <c r="A117" s="134"/>
      <c r="B117" s="134"/>
      <c r="C117" s="134"/>
      <c r="D117" s="134"/>
      <c r="E117" s="99"/>
      <c r="F117" s="99"/>
      <c r="G117" s="99"/>
      <c r="H117" s="99"/>
      <c r="I117" s="99"/>
    </row>
    <row r="118" spans="1:9" x14ac:dyDescent="0.25">
      <c r="A118" s="134"/>
      <c r="B118" s="134"/>
      <c r="C118" s="134"/>
      <c r="D118" s="134"/>
      <c r="E118" s="99"/>
      <c r="F118" s="99"/>
      <c r="G118" s="99"/>
      <c r="H118" s="99"/>
      <c r="I118" s="99"/>
    </row>
    <row r="119" spans="1:9" x14ac:dyDescent="0.25">
      <c r="A119" s="134"/>
      <c r="B119" s="134"/>
      <c r="C119" s="134"/>
      <c r="D119" s="134"/>
      <c r="E119" s="99"/>
      <c r="F119" s="99"/>
      <c r="G119" s="99"/>
      <c r="H119" s="99"/>
      <c r="I119" s="99"/>
    </row>
    <row r="120" spans="1:9" x14ac:dyDescent="0.25">
      <c r="A120" s="134"/>
      <c r="B120" s="134"/>
      <c r="C120" s="134"/>
      <c r="D120" s="134"/>
      <c r="E120" s="99"/>
      <c r="F120" s="99"/>
      <c r="G120" s="99"/>
      <c r="H120" s="99"/>
      <c r="I120" s="99"/>
    </row>
    <row r="121" spans="1:9" x14ac:dyDescent="0.25">
      <c r="A121" s="134"/>
      <c r="B121" s="134"/>
      <c r="C121" s="134"/>
      <c r="D121" s="134"/>
      <c r="E121" s="99"/>
      <c r="F121" s="99"/>
      <c r="G121" s="99"/>
      <c r="H121" s="99"/>
      <c r="I121" s="99"/>
    </row>
    <row r="122" spans="1:9" x14ac:dyDescent="0.25">
      <c r="A122" s="134"/>
      <c r="B122" s="134"/>
      <c r="C122" s="134"/>
      <c r="D122" s="134"/>
      <c r="E122" s="99"/>
      <c r="F122" s="99"/>
      <c r="G122" s="99"/>
      <c r="H122" s="99"/>
      <c r="I122" s="99"/>
    </row>
    <row r="123" spans="1:9" x14ac:dyDescent="0.25">
      <c r="A123" s="134"/>
      <c r="B123" s="134"/>
      <c r="C123" s="134"/>
      <c r="D123" s="134"/>
      <c r="E123" s="99"/>
      <c r="F123" s="99"/>
      <c r="G123" s="99"/>
      <c r="H123" s="99"/>
      <c r="I123" s="99"/>
    </row>
    <row r="124" spans="1:9" x14ac:dyDescent="0.25">
      <c r="A124" s="134"/>
      <c r="B124" s="134"/>
      <c r="C124" s="134"/>
      <c r="D124" s="134"/>
      <c r="E124" s="99"/>
      <c r="F124" s="99"/>
      <c r="G124" s="99"/>
      <c r="H124" s="99"/>
      <c r="I124" s="99"/>
    </row>
    <row r="125" spans="1:9" x14ac:dyDescent="0.25">
      <c r="A125" s="134"/>
      <c r="B125" s="134"/>
      <c r="C125" s="134"/>
      <c r="D125" s="134"/>
      <c r="E125" s="99"/>
      <c r="F125" s="99"/>
      <c r="G125" s="99"/>
      <c r="H125" s="99"/>
      <c r="I125" s="99"/>
    </row>
    <row r="126" spans="1:9" x14ac:dyDescent="0.25">
      <c r="A126" s="134"/>
      <c r="B126" s="134"/>
      <c r="C126" s="134"/>
      <c r="D126" s="134"/>
      <c r="E126" s="99"/>
      <c r="F126" s="99"/>
      <c r="G126" s="99"/>
      <c r="H126" s="99"/>
      <c r="I126" s="99"/>
    </row>
    <row r="127" spans="1:9" x14ac:dyDescent="0.25">
      <c r="A127" s="134"/>
      <c r="B127" s="134"/>
      <c r="C127" s="134"/>
      <c r="D127" s="134"/>
      <c r="E127" s="99"/>
      <c r="F127" s="99"/>
      <c r="G127" s="99"/>
      <c r="H127" s="99"/>
      <c r="I127" s="99"/>
    </row>
    <row r="128" spans="1:9" x14ac:dyDescent="0.25">
      <c r="A128" s="134"/>
      <c r="B128" s="134"/>
      <c r="C128" s="134"/>
      <c r="D128" s="134"/>
      <c r="E128" s="99"/>
      <c r="F128" s="99"/>
      <c r="G128" s="99"/>
      <c r="H128" s="99"/>
      <c r="I128" s="99"/>
    </row>
    <row r="129" spans="1:9" x14ac:dyDescent="0.25">
      <c r="A129" s="134"/>
      <c r="B129" s="134"/>
      <c r="C129" s="134"/>
      <c r="D129" s="134"/>
      <c r="E129" s="99"/>
      <c r="F129" s="99"/>
      <c r="G129" s="99"/>
      <c r="H129" s="99"/>
      <c r="I129" s="99"/>
    </row>
    <row r="130" spans="1:9" x14ac:dyDescent="0.25">
      <c r="A130" s="134"/>
      <c r="B130" s="134"/>
      <c r="C130" s="134"/>
      <c r="D130" s="134"/>
      <c r="E130" s="99"/>
      <c r="F130" s="99"/>
      <c r="G130" s="99"/>
      <c r="H130" s="99"/>
      <c r="I130" s="99"/>
    </row>
    <row r="131" spans="1:9" x14ac:dyDescent="0.25">
      <c r="A131" s="134"/>
      <c r="B131" s="134"/>
      <c r="C131" s="134"/>
      <c r="D131" s="134"/>
      <c r="E131" s="99"/>
      <c r="F131" s="99"/>
      <c r="G131" s="99"/>
      <c r="H131" s="99"/>
      <c r="I131" s="99"/>
    </row>
    <row r="132" spans="1:9" x14ac:dyDescent="0.25">
      <c r="A132" s="134"/>
      <c r="B132" s="134"/>
      <c r="C132" s="134"/>
      <c r="D132" s="134"/>
      <c r="E132" s="99"/>
      <c r="F132" s="99"/>
      <c r="G132" s="99"/>
      <c r="H132" s="99"/>
      <c r="I132" s="99"/>
    </row>
    <row r="133" spans="1:9" x14ac:dyDescent="0.25">
      <c r="A133" s="134"/>
      <c r="B133" s="134"/>
      <c r="C133" s="134"/>
      <c r="D133" s="134"/>
      <c r="E133" s="99"/>
      <c r="F133" s="99"/>
      <c r="G133" s="99"/>
      <c r="H133" s="99"/>
      <c r="I133" s="99"/>
    </row>
    <row r="134" spans="1:9" x14ac:dyDescent="0.25">
      <c r="A134" s="134"/>
      <c r="B134" s="134"/>
      <c r="C134" s="134"/>
      <c r="D134" s="134"/>
      <c r="E134" s="99"/>
      <c r="F134" s="99"/>
      <c r="G134" s="99"/>
      <c r="H134" s="99"/>
      <c r="I134" s="99"/>
    </row>
    <row r="135" spans="1:9" x14ac:dyDescent="0.25">
      <c r="A135" s="134"/>
      <c r="B135" s="134"/>
      <c r="C135" s="134"/>
      <c r="D135" s="134"/>
      <c r="E135" s="99"/>
      <c r="F135" s="99"/>
      <c r="G135" s="99"/>
      <c r="H135" s="99"/>
      <c r="I135" s="99"/>
    </row>
    <row r="136" spans="1:9" x14ac:dyDescent="0.25">
      <c r="A136" s="134"/>
      <c r="B136" s="134"/>
      <c r="C136" s="134"/>
      <c r="D136" s="134"/>
      <c r="E136" s="99"/>
      <c r="F136" s="99"/>
      <c r="G136" s="99"/>
      <c r="H136" s="99"/>
      <c r="I136" s="99"/>
    </row>
    <row r="137" spans="1:9" x14ac:dyDescent="0.25">
      <c r="A137" s="134"/>
      <c r="B137" s="134"/>
      <c r="C137" s="134"/>
      <c r="D137" s="134"/>
      <c r="E137" s="99"/>
      <c r="F137" s="99"/>
      <c r="G137" s="99"/>
      <c r="H137" s="99"/>
      <c r="I137" s="99"/>
    </row>
    <row r="138" spans="1:9" x14ac:dyDescent="0.25">
      <c r="A138" s="134"/>
      <c r="B138" s="134"/>
      <c r="C138" s="134"/>
      <c r="D138" s="134"/>
      <c r="E138" s="99"/>
      <c r="F138" s="99"/>
      <c r="G138" s="99"/>
      <c r="H138" s="99"/>
      <c r="I138" s="99"/>
    </row>
    <row r="139" spans="1:9" x14ac:dyDescent="0.25">
      <c r="A139" s="134"/>
      <c r="B139" s="134"/>
      <c r="C139" s="134"/>
      <c r="D139" s="134"/>
      <c r="E139" s="99"/>
      <c r="F139" s="99"/>
      <c r="G139" s="99"/>
      <c r="H139" s="99"/>
      <c r="I139" s="99"/>
    </row>
    <row r="140" spans="1:9" x14ac:dyDescent="0.25">
      <c r="A140" s="134"/>
      <c r="B140" s="134"/>
      <c r="C140" s="134"/>
      <c r="D140" s="134"/>
      <c r="E140" s="99"/>
      <c r="F140" s="99"/>
      <c r="G140" s="99"/>
      <c r="H140" s="99"/>
      <c r="I140" s="99"/>
    </row>
    <row r="141" spans="1:9" x14ac:dyDescent="0.25">
      <c r="A141" s="134"/>
      <c r="B141" s="134"/>
      <c r="C141" s="134"/>
      <c r="D141" s="134"/>
      <c r="E141" s="99"/>
      <c r="F141" s="99"/>
      <c r="G141" s="99"/>
      <c r="H141" s="99"/>
      <c r="I141" s="99"/>
    </row>
    <row r="142" spans="1:9" x14ac:dyDescent="0.25">
      <c r="A142" s="134"/>
      <c r="B142" s="134"/>
      <c r="C142" s="134"/>
      <c r="D142" s="134"/>
      <c r="E142" s="99"/>
      <c r="F142" s="99"/>
      <c r="G142" s="99"/>
      <c r="H142" s="99"/>
      <c r="I142" s="99"/>
    </row>
    <row r="143" spans="1:9" x14ac:dyDescent="0.25">
      <c r="A143" s="134"/>
      <c r="B143" s="134"/>
      <c r="C143" s="134"/>
      <c r="D143" s="134"/>
      <c r="E143" s="99"/>
      <c r="F143" s="99"/>
      <c r="G143" s="99"/>
      <c r="H143" s="99"/>
      <c r="I143" s="99"/>
    </row>
    <row r="144" spans="1:9" x14ac:dyDescent="0.25">
      <c r="A144" s="134"/>
      <c r="B144" s="134"/>
      <c r="C144" s="134"/>
      <c r="D144" s="134"/>
      <c r="E144" s="99"/>
      <c r="F144" s="99"/>
      <c r="G144" s="99"/>
      <c r="H144" s="99"/>
      <c r="I144" s="99"/>
    </row>
    <row r="145" spans="1:9" x14ac:dyDescent="0.25">
      <c r="A145" s="134"/>
      <c r="B145" s="134"/>
      <c r="C145" s="134"/>
      <c r="D145" s="134"/>
      <c r="E145" s="99"/>
      <c r="F145" s="99"/>
      <c r="G145" s="99"/>
      <c r="H145" s="99"/>
      <c r="I145" s="99"/>
    </row>
    <row r="146" spans="1:9" x14ac:dyDescent="0.25">
      <c r="A146" s="134"/>
      <c r="B146" s="134"/>
      <c r="C146" s="134"/>
      <c r="D146" s="134"/>
      <c r="E146" s="99"/>
      <c r="F146" s="99"/>
      <c r="G146" s="99"/>
      <c r="H146" s="99"/>
      <c r="I146" s="99"/>
    </row>
    <row r="147" spans="1:9" x14ac:dyDescent="0.25">
      <c r="A147" s="134"/>
      <c r="B147" s="134"/>
      <c r="C147" s="134"/>
      <c r="D147" s="134"/>
      <c r="E147" s="99"/>
      <c r="F147" s="99"/>
      <c r="G147" s="99"/>
      <c r="H147" s="99"/>
      <c r="I147" s="99"/>
    </row>
    <row r="148" spans="1:9" x14ac:dyDescent="0.25">
      <c r="A148" s="134"/>
      <c r="B148" s="134"/>
      <c r="C148" s="134"/>
      <c r="D148" s="134"/>
      <c r="E148" s="99"/>
      <c r="F148" s="99"/>
      <c r="G148" s="99"/>
      <c r="H148" s="99"/>
      <c r="I148" s="99"/>
    </row>
    <row r="149" spans="1:9" x14ac:dyDescent="0.25">
      <c r="A149" s="134"/>
      <c r="B149" s="134"/>
      <c r="C149" s="134"/>
      <c r="D149" s="134"/>
      <c r="E149" s="99"/>
      <c r="F149" s="99"/>
      <c r="G149" s="99"/>
      <c r="H149" s="99"/>
      <c r="I149" s="99"/>
    </row>
    <row r="150" spans="1:9" x14ac:dyDescent="0.25">
      <c r="A150" s="134"/>
      <c r="B150" s="134"/>
      <c r="C150" s="134"/>
      <c r="D150" s="134"/>
      <c r="E150" s="99"/>
      <c r="F150" s="99"/>
      <c r="G150" s="99"/>
      <c r="H150" s="99"/>
      <c r="I150" s="99"/>
    </row>
    <row r="151" spans="1:9" x14ac:dyDescent="0.25">
      <c r="A151" s="134"/>
      <c r="B151" s="134"/>
      <c r="C151" s="134"/>
      <c r="D151" s="134"/>
      <c r="E151" s="99"/>
      <c r="F151" s="99"/>
      <c r="G151" s="99"/>
      <c r="H151" s="99"/>
      <c r="I151" s="99"/>
    </row>
    <row r="152" spans="1:9" x14ac:dyDescent="0.25">
      <c r="A152" s="134"/>
      <c r="B152" s="134"/>
      <c r="C152" s="134"/>
      <c r="D152" s="134"/>
      <c r="E152" s="99"/>
      <c r="F152" s="99"/>
      <c r="G152" s="99"/>
      <c r="H152" s="99"/>
      <c r="I152" s="99"/>
    </row>
    <row r="153" spans="1:9" x14ac:dyDescent="0.25">
      <c r="A153" s="134"/>
      <c r="B153" s="134"/>
      <c r="C153" s="134"/>
      <c r="D153" s="134"/>
      <c r="E153" s="99"/>
      <c r="F153" s="99"/>
      <c r="G153" s="99"/>
      <c r="H153" s="99"/>
      <c r="I153" s="99"/>
    </row>
    <row r="154" spans="1:9" x14ac:dyDescent="0.25">
      <c r="A154" s="134"/>
      <c r="B154" s="134"/>
      <c r="C154" s="134"/>
      <c r="D154" s="134"/>
      <c r="E154" s="99"/>
      <c r="F154" s="99"/>
      <c r="G154" s="99"/>
      <c r="H154" s="99"/>
      <c r="I154" s="99"/>
    </row>
    <row r="155" spans="1:9" x14ac:dyDescent="0.25">
      <c r="A155" s="134"/>
      <c r="B155" s="134"/>
      <c r="C155" s="134"/>
      <c r="D155" s="134"/>
      <c r="E155" s="99"/>
      <c r="F155" s="99"/>
      <c r="G155" s="99"/>
      <c r="H155" s="99"/>
      <c r="I155" s="99"/>
    </row>
    <row r="156" spans="1:9" x14ac:dyDescent="0.25">
      <c r="A156" s="134"/>
      <c r="B156" s="134"/>
      <c r="C156" s="134"/>
      <c r="D156" s="134"/>
      <c r="E156" s="99"/>
      <c r="F156" s="99"/>
      <c r="G156" s="99"/>
      <c r="H156" s="99"/>
      <c r="I156" s="99"/>
    </row>
    <row r="157" spans="1:9" x14ac:dyDescent="0.25">
      <c r="A157" s="134"/>
      <c r="B157" s="134"/>
      <c r="C157" s="134"/>
      <c r="D157" s="134"/>
      <c r="E157" s="99"/>
      <c r="F157" s="99"/>
      <c r="G157" s="99"/>
      <c r="H157" s="99"/>
      <c r="I157" s="99"/>
    </row>
    <row r="158" spans="1:9" x14ac:dyDescent="0.25">
      <c r="A158" s="134"/>
      <c r="B158" s="134"/>
      <c r="C158" s="134"/>
      <c r="D158" s="134"/>
      <c r="E158" s="99"/>
      <c r="F158" s="99"/>
      <c r="G158" s="99"/>
      <c r="H158" s="99"/>
      <c r="I158" s="99"/>
    </row>
    <row r="159" spans="1:9" x14ac:dyDescent="0.25">
      <c r="A159" s="134"/>
      <c r="B159" s="134"/>
      <c r="C159" s="134"/>
      <c r="D159" s="134"/>
      <c r="E159" s="99"/>
      <c r="F159" s="99"/>
      <c r="G159" s="99"/>
      <c r="H159" s="99"/>
      <c r="I159" s="99"/>
    </row>
    <row r="160" spans="1:9" x14ac:dyDescent="0.25">
      <c r="A160" s="134"/>
      <c r="B160" s="134"/>
      <c r="C160" s="134"/>
      <c r="D160" s="134"/>
      <c r="E160" s="99"/>
      <c r="F160" s="99"/>
      <c r="G160" s="99"/>
      <c r="H160" s="99"/>
      <c r="I160" s="99"/>
    </row>
    <row r="161" spans="1:9" x14ac:dyDescent="0.25">
      <c r="A161" s="134"/>
      <c r="B161" s="134"/>
      <c r="C161" s="134"/>
      <c r="D161" s="134"/>
      <c r="E161" s="99"/>
      <c r="F161" s="99"/>
      <c r="G161" s="99"/>
      <c r="H161" s="99"/>
      <c r="I161" s="99"/>
    </row>
    <row r="162" spans="1:9" x14ac:dyDescent="0.25">
      <c r="A162" s="134"/>
      <c r="B162" s="134"/>
      <c r="C162" s="134"/>
      <c r="D162" s="134"/>
      <c r="E162" s="99"/>
      <c r="F162" s="99"/>
      <c r="G162" s="99"/>
      <c r="H162" s="99"/>
      <c r="I162" s="99"/>
    </row>
    <row r="163" spans="1:9" x14ac:dyDescent="0.25">
      <c r="A163" s="134"/>
      <c r="B163" s="134"/>
      <c r="C163" s="134"/>
      <c r="D163" s="134"/>
      <c r="E163" s="99"/>
      <c r="F163" s="99"/>
      <c r="G163" s="99"/>
      <c r="H163" s="99"/>
      <c r="I163" s="99"/>
    </row>
    <row r="164" spans="1:9" x14ac:dyDescent="0.25">
      <c r="A164" s="134"/>
      <c r="B164" s="134"/>
      <c r="C164" s="134"/>
      <c r="D164" s="134"/>
      <c r="E164" s="99"/>
      <c r="F164" s="99"/>
      <c r="G164" s="99"/>
      <c r="H164" s="99"/>
      <c r="I164" s="99"/>
    </row>
    <row r="165" spans="1:9" x14ac:dyDescent="0.25">
      <c r="A165" s="134"/>
      <c r="B165" s="134"/>
      <c r="C165" s="134"/>
      <c r="D165" s="134"/>
      <c r="E165" s="99"/>
      <c r="F165" s="99"/>
      <c r="G165" s="99"/>
      <c r="H165" s="99"/>
      <c r="I165" s="99"/>
    </row>
    <row r="166" spans="1:9" x14ac:dyDescent="0.25">
      <c r="A166" s="134"/>
      <c r="B166" s="134"/>
      <c r="C166" s="134"/>
      <c r="D166" s="134"/>
      <c r="E166" s="99"/>
      <c r="F166" s="99"/>
      <c r="G166" s="99"/>
      <c r="H166" s="99"/>
      <c r="I166" s="99"/>
    </row>
    <row r="167" spans="1:9" x14ac:dyDescent="0.25">
      <c r="A167" s="134"/>
      <c r="B167" s="134"/>
      <c r="C167" s="134"/>
      <c r="D167" s="134"/>
      <c r="E167" s="99"/>
      <c r="F167" s="99"/>
      <c r="G167" s="99"/>
      <c r="H167" s="99"/>
      <c r="I167" s="99"/>
    </row>
    <row r="168" spans="1:9" x14ac:dyDescent="0.25">
      <c r="A168" s="134"/>
      <c r="B168" s="134"/>
      <c r="C168" s="134"/>
      <c r="D168" s="134"/>
      <c r="E168" s="99"/>
      <c r="F168" s="99"/>
      <c r="G168" s="99"/>
      <c r="H168" s="99"/>
      <c r="I168" s="99"/>
    </row>
    <row r="169" spans="1:9" x14ac:dyDescent="0.25">
      <c r="A169" s="134"/>
      <c r="B169" s="134"/>
      <c r="C169" s="134"/>
      <c r="D169" s="134"/>
      <c r="E169" s="99"/>
      <c r="F169" s="99"/>
      <c r="G169" s="99"/>
      <c r="H169" s="99"/>
      <c r="I169" s="99"/>
    </row>
    <row r="170" spans="1:9" x14ac:dyDescent="0.25">
      <c r="A170" s="134"/>
      <c r="B170" s="134"/>
      <c r="C170" s="134"/>
      <c r="D170" s="134"/>
      <c r="E170" s="99"/>
      <c r="F170" s="99"/>
      <c r="G170" s="99"/>
      <c r="H170" s="99"/>
      <c r="I170" s="99"/>
    </row>
    <row r="171" spans="1:9" x14ac:dyDescent="0.25">
      <c r="A171" s="134"/>
      <c r="B171" s="134"/>
      <c r="C171" s="134"/>
      <c r="D171" s="134"/>
      <c r="E171" s="99"/>
      <c r="F171" s="99"/>
      <c r="G171" s="99"/>
      <c r="H171" s="99"/>
      <c r="I171" s="99"/>
    </row>
    <row r="172" spans="1:9" x14ac:dyDescent="0.25">
      <c r="A172" s="134"/>
      <c r="B172" s="134"/>
      <c r="C172" s="134"/>
      <c r="D172" s="134"/>
      <c r="E172" s="99"/>
      <c r="F172" s="99"/>
      <c r="G172" s="99"/>
      <c r="H172" s="99"/>
      <c r="I172" s="99"/>
    </row>
    <row r="173" spans="1:9" x14ac:dyDescent="0.25">
      <c r="A173" s="134"/>
      <c r="B173" s="134"/>
      <c r="C173" s="134"/>
      <c r="D173" s="134"/>
      <c r="E173" s="99"/>
      <c r="F173" s="99"/>
      <c r="G173" s="99"/>
      <c r="H173" s="99"/>
      <c r="I173" s="99"/>
    </row>
    <row r="174" spans="1:9" x14ac:dyDescent="0.25">
      <c r="A174" s="134"/>
      <c r="B174" s="134"/>
      <c r="C174" s="134"/>
      <c r="D174" s="134"/>
      <c r="E174" s="99"/>
      <c r="F174" s="99"/>
      <c r="G174" s="99"/>
      <c r="H174" s="99"/>
      <c r="I174" s="99"/>
    </row>
    <row r="175" spans="1:9" x14ac:dyDescent="0.25">
      <c r="A175" s="134"/>
      <c r="B175" s="134"/>
      <c r="C175" s="134"/>
      <c r="D175" s="134"/>
      <c r="E175" s="99"/>
      <c r="F175" s="99"/>
      <c r="G175" s="99"/>
      <c r="H175" s="99"/>
      <c r="I175" s="99"/>
    </row>
    <row r="176" spans="1:9" x14ac:dyDescent="0.25">
      <c r="A176" s="134"/>
      <c r="B176" s="134"/>
      <c r="C176" s="134"/>
      <c r="D176" s="134"/>
      <c r="E176" s="99"/>
      <c r="F176" s="99"/>
      <c r="G176" s="99"/>
      <c r="H176" s="99"/>
      <c r="I176" s="99"/>
    </row>
    <row r="177" spans="1:9" x14ac:dyDescent="0.25">
      <c r="A177" s="134"/>
      <c r="B177" s="134"/>
      <c r="C177" s="134"/>
      <c r="D177" s="134"/>
      <c r="E177" s="99"/>
      <c r="F177" s="99"/>
      <c r="G177" s="99"/>
      <c r="H177" s="99"/>
      <c r="I177" s="99"/>
    </row>
    <row r="178" spans="1:9" x14ac:dyDescent="0.25">
      <c r="A178" s="134"/>
      <c r="B178" s="134"/>
      <c r="C178" s="134"/>
      <c r="D178" s="134"/>
      <c r="E178" s="99"/>
      <c r="F178" s="99"/>
      <c r="G178" s="99"/>
      <c r="H178" s="99"/>
      <c r="I178" s="99"/>
    </row>
    <row r="179" spans="1:9" x14ac:dyDescent="0.25">
      <c r="A179" s="134"/>
      <c r="B179" s="134"/>
      <c r="C179" s="134"/>
      <c r="D179" s="134"/>
      <c r="E179" s="99"/>
      <c r="F179" s="99"/>
      <c r="G179" s="99"/>
      <c r="H179" s="99"/>
      <c r="I179" s="99"/>
    </row>
    <row r="180" spans="1:9" x14ac:dyDescent="0.25">
      <c r="A180" s="134"/>
      <c r="B180" s="134"/>
      <c r="C180" s="134"/>
      <c r="D180" s="134"/>
      <c r="E180" s="99"/>
      <c r="F180" s="99"/>
      <c r="G180" s="99"/>
      <c r="H180" s="99"/>
      <c r="I180" s="99"/>
    </row>
    <row r="181" spans="1:9" x14ac:dyDescent="0.25">
      <c r="A181" s="134"/>
      <c r="B181" s="134"/>
      <c r="C181" s="134"/>
      <c r="D181" s="134"/>
      <c r="E181" s="99"/>
      <c r="F181" s="99"/>
      <c r="G181" s="99"/>
      <c r="H181" s="99"/>
      <c r="I181" s="99"/>
    </row>
    <row r="182" spans="1:9" x14ac:dyDescent="0.25">
      <c r="A182" s="134"/>
      <c r="B182" s="134"/>
      <c r="C182" s="134"/>
      <c r="D182" s="134"/>
      <c r="E182" s="99"/>
      <c r="F182" s="99"/>
      <c r="G182" s="99"/>
      <c r="H182" s="99"/>
      <c r="I182" s="99"/>
    </row>
    <row r="183" spans="1:9" x14ac:dyDescent="0.25">
      <c r="A183" s="134"/>
      <c r="B183" s="134"/>
      <c r="C183" s="134"/>
      <c r="D183" s="134"/>
      <c r="E183" s="99"/>
      <c r="F183" s="99"/>
      <c r="G183" s="99"/>
      <c r="H183" s="99"/>
      <c r="I183" s="99"/>
    </row>
    <row r="184" spans="1:9" x14ac:dyDescent="0.25">
      <c r="A184" s="134"/>
      <c r="B184" s="134"/>
      <c r="C184" s="134"/>
      <c r="D184" s="134"/>
      <c r="E184" s="99"/>
      <c r="F184" s="99"/>
      <c r="G184" s="99"/>
      <c r="H184" s="99"/>
      <c r="I184" s="99"/>
    </row>
    <row r="185" spans="1:9" x14ac:dyDescent="0.25">
      <c r="A185" s="134"/>
      <c r="B185" s="134"/>
      <c r="C185" s="134"/>
      <c r="D185" s="134"/>
      <c r="E185" s="99"/>
      <c r="F185" s="99"/>
      <c r="G185" s="99"/>
      <c r="H185" s="99"/>
      <c r="I185" s="99"/>
    </row>
    <row r="186" spans="1:9" x14ac:dyDescent="0.25">
      <c r="A186" s="134"/>
      <c r="B186" s="134"/>
      <c r="C186" s="134"/>
      <c r="D186" s="134"/>
      <c r="E186" s="99"/>
      <c r="F186" s="99"/>
      <c r="G186" s="99"/>
      <c r="H186" s="99"/>
      <c r="I186" s="99"/>
    </row>
    <row r="187" spans="1:9" x14ac:dyDescent="0.25">
      <c r="A187" s="134"/>
      <c r="B187" s="134"/>
      <c r="C187" s="134"/>
      <c r="D187" s="134"/>
      <c r="E187" s="99"/>
      <c r="F187" s="99"/>
      <c r="G187" s="99"/>
      <c r="H187" s="99"/>
      <c r="I187" s="99"/>
    </row>
    <row r="188" spans="1:9" x14ac:dyDescent="0.25">
      <c r="A188" s="134"/>
      <c r="B188" s="134"/>
      <c r="C188" s="134"/>
      <c r="D188" s="134"/>
      <c r="E188" s="99"/>
      <c r="F188" s="99"/>
      <c r="G188" s="99"/>
      <c r="H188" s="99"/>
      <c r="I188" s="99"/>
    </row>
    <row r="189" spans="1:9" x14ac:dyDescent="0.25">
      <c r="A189" s="134"/>
      <c r="B189" s="134"/>
      <c r="C189" s="134"/>
      <c r="D189" s="134"/>
      <c r="E189" s="99"/>
      <c r="F189" s="99"/>
      <c r="G189" s="99"/>
      <c r="H189" s="99"/>
      <c r="I189" s="99"/>
    </row>
    <row r="190" spans="1:9" x14ac:dyDescent="0.25">
      <c r="A190" s="134"/>
      <c r="B190" s="134"/>
      <c r="C190" s="134"/>
      <c r="D190" s="134"/>
      <c r="E190" s="99"/>
      <c r="F190" s="99"/>
      <c r="G190" s="99"/>
      <c r="H190" s="99"/>
      <c r="I190" s="99"/>
    </row>
    <row r="191" spans="1:9" x14ac:dyDescent="0.25">
      <c r="A191" s="134"/>
      <c r="B191" s="134"/>
      <c r="C191" s="134"/>
      <c r="D191" s="134"/>
      <c r="E191" s="99"/>
      <c r="F191" s="99"/>
      <c r="G191" s="99"/>
      <c r="H191" s="99"/>
      <c r="I191" s="99"/>
    </row>
    <row r="192" spans="1:9" x14ac:dyDescent="0.25">
      <c r="A192" s="134"/>
      <c r="B192" s="134"/>
      <c r="C192" s="134"/>
      <c r="D192" s="134"/>
      <c r="E192" s="99"/>
      <c r="F192" s="99"/>
      <c r="G192" s="99"/>
      <c r="H192" s="99"/>
      <c r="I192" s="99"/>
    </row>
    <row r="193" spans="1:9" x14ac:dyDescent="0.25">
      <c r="A193" s="134"/>
      <c r="B193" s="134"/>
      <c r="C193" s="134"/>
      <c r="D193" s="134"/>
      <c r="E193" s="99"/>
      <c r="F193" s="99"/>
      <c r="G193" s="99"/>
      <c r="H193" s="99"/>
      <c r="I193" s="99"/>
    </row>
    <row r="194" spans="1:9" x14ac:dyDescent="0.25">
      <c r="A194" s="134"/>
      <c r="B194" s="134"/>
      <c r="C194" s="134"/>
      <c r="D194" s="134"/>
      <c r="E194" s="99"/>
      <c r="F194" s="99"/>
      <c r="G194" s="99"/>
      <c r="H194" s="99"/>
      <c r="I194" s="99"/>
    </row>
    <row r="195" spans="1:9" x14ac:dyDescent="0.25">
      <c r="A195" s="134"/>
      <c r="B195" s="134"/>
      <c r="C195" s="134"/>
      <c r="D195" s="134"/>
      <c r="E195" s="99"/>
      <c r="F195" s="99"/>
      <c r="G195" s="99"/>
      <c r="H195" s="99"/>
      <c r="I195" s="99"/>
    </row>
    <row r="196" spans="1:9" x14ac:dyDescent="0.25">
      <c r="A196" s="134"/>
      <c r="B196" s="134"/>
      <c r="C196" s="134"/>
      <c r="D196" s="134"/>
      <c r="E196" s="99"/>
      <c r="F196" s="99"/>
      <c r="G196" s="99"/>
      <c r="H196" s="99"/>
      <c r="I196" s="99"/>
    </row>
    <row r="197" spans="1:9" x14ac:dyDescent="0.25">
      <c r="A197" s="134"/>
      <c r="B197" s="134"/>
      <c r="C197" s="134"/>
      <c r="D197" s="134"/>
      <c r="E197" s="99"/>
      <c r="F197" s="99"/>
      <c r="G197" s="99"/>
      <c r="H197" s="99"/>
      <c r="I197" s="99"/>
    </row>
    <row r="198" spans="1:9" x14ac:dyDescent="0.25">
      <c r="A198" s="134"/>
      <c r="B198" s="134"/>
      <c r="C198" s="134"/>
      <c r="D198" s="134"/>
      <c r="E198" s="99"/>
      <c r="F198" s="99"/>
      <c r="G198" s="99"/>
      <c r="H198" s="99"/>
      <c r="I198" s="99"/>
    </row>
    <row r="199" spans="1:9" x14ac:dyDescent="0.25">
      <c r="A199" s="134"/>
      <c r="B199" s="134"/>
      <c r="C199" s="134"/>
      <c r="D199" s="134"/>
      <c r="E199" s="99"/>
      <c r="F199" s="99"/>
      <c r="G199" s="99"/>
      <c r="H199" s="99"/>
      <c r="I199" s="99"/>
    </row>
    <row r="200" spans="1:9" x14ac:dyDescent="0.25">
      <c r="A200" s="134"/>
      <c r="B200" s="134"/>
      <c r="C200" s="134"/>
      <c r="D200" s="134"/>
      <c r="E200" s="99"/>
      <c r="F200" s="99"/>
      <c r="G200" s="99"/>
      <c r="H200" s="99"/>
      <c r="I200" s="99"/>
    </row>
    <row r="201" spans="1:9" x14ac:dyDescent="0.25">
      <c r="A201" s="134"/>
      <c r="B201" s="134"/>
      <c r="C201" s="134"/>
      <c r="D201" s="134"/>
      <c r="E201" s="99"/>
      <c r="F201" s="99"/>
      <c r="G201" s="99"/>
      <c r="H201" s="99"/>
      <c r="I201" s="99"/>
    </row>
    <row r="202" spans="1:9" x14ac:dyDescent="0.25">
      <c r="A202" s="134"/>
      <c r="B202" s="134"/>
      <c r="C202" s="134"/>
      <c r="D202" s="134"/>
      <c r="E202" s="99"/>
      <c r="F202" s="99"/>
      <c r="G202" s="99"/>
      <c r="H202" s="99"/>
      <c r="I202" s="99"/>
    </row>
    <row r="203" spans="1:9" x14ac:dyDescent="0.25">
      <c r="A203" s="134"/>
      <c r="B203" s="134"/>
      <c r="C203" s="134"/>
      <c r="D203" s="134"/>
      <c r="E203" s="99"/>
      <c r="F203" s="99"/>
      <c r="G203" s="99"/>
      <c r="H203" s="99"/>
      <c r="I203" s="99"/>
    </row>
    <row r="204" spans="1:9" x14ac:dyDescent="0.25">
      <c r="A204" s="134"/>
      <c r="B204" s="134"/>
      <c r="C204" s="134"/>
      <c r="D204" s="134"/>
      <c r="E204" s="99"/>
      <c r="F204" s="99"/>
      <c r="G204" s="99"/>
      <c r="H204" s="99"/>
      <c r="I204" s="99"/>
    </row>
    <row r="205" spans="1:9" x14ac:dyDescent="0.25">
      <c r="A205" s="134"/>
      <c r="B205" s="134"/>
      <c r="C205" s="134"/>
      <c r="D205" s="134"/>
      <c r="E205" s="99"/>
      <c r="F205" s="99"/>
      <c r="G205" s="99"/>
      <c r="H205" s="99"/>
      <c r="I205" s="99"/>
    </row>
    <row r="206" spans="1:9" x14ac:dyDescent="0.25">
      <c r="A206" s="134"/>
      <c r="B206" s="134"/>
      <c r="C206" s="134"/>
      <c r="D206" s="134"/>
      <c r="E206" s="99"/>
      <c r="F206" s="99"/>
      <c r="G206" s="99"/>
      <c r="H206" s="99"/>
      <c r="I206" s="99"/>
    </row>
    <row r="207" spans="1:9" x14ac:dyDescent="0.25">
      <c r="A207" s="134"/>
      <c r="B207" s="134"/>
      <c r="C207" s="134"/>
      <c r="D207" s="134"/>
      <c r="E207" s="99"/>
      <c r="F207" s="99"/>
      <c r="G207" s="99"/>
      <c r="H207" s="99"/>
      <c r="I207" s="99"/>
    </row>
    <row r="208" spans="1:9" x14ac:dyDescent="0.25">
      <c r="A208" s="134"/>
      <c r="B208" s="134"/>
      <c r="C208" s="134"/>
      <c r="D208" s="134"/>
      <c r="E208" s="99"/>
      <c r="F208" s="99"/>
      <c r="G208" s="99"/>
      <c r="H208" s="99"/>
      <c r="I208" s="99"/>
    </row>
    <row r="209" spans="1:9" x14ac:dyDescent="0.25">
      <c r="A209" s="134"/>
      <c r="B209" s="134"/>
      <c r="C209" s="134"/>
      <c r="D209" s="134"/>
      <c r="E209" s="99"/>
      <c r="F209" s="99"/>
      <c r="G209" s="99"/>
      <c r="H209" s="99"/>
      <c r="I209" s="99"/>
    </row>
    <row r="210" spans="1:9" x14ac:dyDescent="0.25">
      <c r="A210" s="134"/>
      <c r="B210" s="134"/>
      <c r="C210" s="134"/>
      <c r="D210" s="134"/>
      <c r="E210" s="99"/>
      <c r="F210" s="99"/>
      <c r="G210" s="99"/>
      <c r="H210" s="99"/>
      <c r="I210" s="99"/>
    </row>
    <row r="211" spans="1:9" x14ac:dyDescent="0.25">
      <c r="A211" s="134"/>
      <c r="B211" s="134"/>
      <c r="C211" s="134"/>
      <c r="D211" s="134"/>
      <c r="E211" s="99"/>
      <c r="F211" s="99"/>
      <c r="G211" s="99"/>
      <c r="H211" s="99"/>
      <c r="I211" s="99"/>
    </row>
    <row r="212" spans="1:9" x14ac:dyDescent="0.25">
      <c r="A212" s="134"/>
      <c r="B212" s="134"/>
      <c r="C212" s="134"/>
      <c r="D212" s="134"/>
      <c r="E212" s="99"/>
      <c r="F212" s="99"/>
      <c r="G212" s="99"/>
      <c r="H212" s="99"/>
      <c r="I212" s="99"/>
    </row>
    <row r="213" spans="1:9" x14ac:dyDescent="0.25">
      <c r="A213" s="134"/>
      <c r="B213" s="134"/>
      <c r="C213" s="134"/>
      <c r="D213" s="134"/>
      <c r="E213" s="99"/>
      <c r="F213" s="99"/>
      <c r="G213" s="99"/>
      <c r="H213" s="99"/>
      <c r="I213" s="99"/>
    </row>
    <row r="214" spans="1:9" x14ac:dyDescent="0.25">
      <c r="A214" s="134"/>
      <c r="B214" s="134"/>
      <c r="C214" s="134"/>
      <c r="D214" s="134"/>
      <c r="E214" s="99"/>
      <c r="F214" s="99"/>
      <c r="G214" s="99"/>
      <c r="H214" s="99"/>
      <c r="I214" s="99"/>
    </row>
    <row r="215" spans="1:9" x14ac:dyDescent="0.25">
      <c r="A215" s="134"/>
      <c r="B215" s="134"/>
      <c r="C215" s="134"/>
      <c r="D215" s="134"/>
      <c r="E215" s="99"/>
      <c r="F215" s="99"/>
      <c r="G215" s="99"/>
      <c r="H215" s="99"/>
      <c r="I215" s="99"/>
    </row>
    <row r="216" spans="1:9" x14ac:dyDescent="0.25">
      <c r="A216" s="134"/>
      <c r="B216" s="134"/>
      <c r="C216" s="134"/>
      <c r="D216" s="134"/>
      <c r="E216" s="99"/>
      <c r="F216" s="99"/>
      <c r="G216" s="99"/>
      <c r="H216" s="99"/>
      <c r="I216" s="99"/>
    </row>
    <row r="217" spans="1:9" x14ac:dyDescent="0.25">
      <c r="A217" s="134"/>
      <c r="B217" s="134"/>
      <c r="C217" s="134"/>
      <c r="D217" s="134"/>
      <c r="E217" s="99"/>
      <c r="F217" s="99"/>
      <c r="G217" s="99"/>
      <c r="H217" s="99"/>
      <c r="I217" s="99"/>
    </row>
    <row r="218" spans="1:9" x14ac:dyDescent="0.25">
      <c r="A218" s="134"/>
      <c r="B218" s="134"/>
      <c r="C218" s="134"/>
      <c r="D218" s="134"/>
      <c r="E218" s="99"/>
      <c r="F218" s="99"/>
      <c r="G218" s="99"/>
      <c r="H218" s="99"/>
      <c r="I218" s="99"/>
    </row>
    <row r="219" spans="1:9" x14ac:dyDescent="0.25">
      <c r="A219" s="134"/>
      <c r="B219" s="134"/>
      <c r="C219" s="134"/>
      <c r="D219" s="134"/>
      <c r="E219" s="99"/>
      <c r="F219" s="99"/>
      <c r="G219" s="99"/>
      <c r="H219" s="99"/>
      <c r="I219" s="99"/>
    </row>
    <row r="220" spans="1:9" x14ac:dyDescent="0.25">
      <c r="A220" s="134"/>
      <c r="B220" s="134"/>
      <c r="C220" s="134"/>
      <c r="D220" s="134"/>
      <c r="E220" s="99"/>
      <c r="F220" s="99"/>
      <c r="G220" s="99"/>
      <c r="H220" s="99"/>
      <c r="I220" s="99"/>
    </row>
    <row r="221" spans="1:9" x14ac:dyDescent="0.25">
      <c r="A221" s="134"/>
      <c r="B221" s="134"/>
      <c r="C221" s="134"/>
      <c r="D221" s="134"/>
      <c r="E221" s="99"/>
      <c r="F221" s="99"/>
      <c r="G221" s="99"/>
      <c r="H221" s="99"/>
      <c r="I221" s="99"/>
    </row>
    <row r="222" spans="1:9" x14ac:dyDescent="0.25">
      <c r="A222" s="134"/>
      <c r="B222" s="134"/>
      <c r="C222" s="134"/>
      <c r="D222" s="134"/>
      <c r="E222" s="99"/>
      <c r="F222" s="99"/>
      <c r="G222" s="99"/>
      <c r="H222" s="99"/>
      <c r="I222" s="99"/>
    </row>
    <row r="223" spans="1:9" x14ac:dyDescent="0.25">
      <c r="A223" s="134"/>
      <c r="B223" s="134"/>
      <c r="C223" s="134"/>
      <c r="D223" s="134"/>
      <c r="E223" s="99"/>
      <c r="F223" s="99"/>
      <c r="G223" s="99"/>
      <c r="H223" s="99"/>
      <c r="I223" s="99"/>
    </row>
    <row r="224" spans="1:9" x14ac:dyDescent="0.25">
      <c r="A224" s="134"/>
      <c r="B224" s="134"/>
      <c r="C224" s="134"/>
      <c r="D224" s="134"/>
      <c r="E224" s="99"/>
      <c r="F224" s="99"/>
      <c r="G224" s="99"/>
      <c r="H224" s="99"/>
      <c r="I224" s="99"/>
    </row>
    <row r="225" spans="1:9" x14ac:dyDescent="0.25">
      <c r="A225" s="134"/>
      <c r="B225" s="134"/>
      <c r="C225" s="134"/>
      <c r="D225" s="134"/>
      <c r="E225" s="99"/>
      <c r="F225" s="99"/>
      <c r="G225" s="99"/>
      <c r="H225" s="99"/>
      <c r="I225" s="99"/>
    </row>
    <row r="226" spans="1:9" x14ac:dyDescent="0.25">
      <c r="A226" s="134"/>
      <c r="B226" s="134"/>
      <c r="C226" s="134"/>
      <c r="D226" s="134"/>
      <c r="E226" s="99"/>
      <c r="F226" s="99"/>
      <c r="G226" s="99"/>
      <c r="H226" s="99"/>
      <c r="I226" s="99"/>
    </row>
    <row r="227" spans="1:9" x14ac:dyDescent="0.25">
      <c r="A227" s="134"/>
      <c r="B227" s="134"/>
      <c r="C227" s="134"/>
      <c r="D227" s="134"/>
      <c r="E227" s="99"/>
      <c r="F227" s="99"/>
      <c r="G227" s="99"/>
      <c r="H227" s="99"/>
      <c r="I227" s="99"/>
    </row>
    <row r="228" spans="1:9" x14ac:dyDescent="0.25">
      <c r="A228" s="134"/>
      <c r="B228" s="134"/>
      <c r="C228" s="134"/>
      <c r="D228" s="134"/>
      <c r="E228" s="99"/>
      <c r="F228" s="99"/>
      <c r="G228" s="99"/>
      <c r="H228" s="99"/>
      <c r="I228" s="99"/>
    </row>
    <row r="229" spans="1:9" x14ac:dyDescent="0.25">
      <c r="A229" s="134"/>
      <c r="B229" s="134"/>
      <c r="C229" s="134"/>
      <c r="D229" s="134"/>
      <c r="E229" s="99"/>
      <c r="F229" s="99"/>
      <c r="G229" s="99"/>
      <c r="H229" s="99"/>
      <c r="I229" s="99"/>
    </row>
    <row r="230" spans="1:9" x14ac:dyDescent="0.25">
      <c r="A230" s="134"/>
      <c r="B230" s="134"/>
      <c r="C230" s="134"/>
      <c r="D230" s="134"/>
      <c r="E230" s="99"/>
      <c r="F230" s="99"/>
      <c r="G230" s="99"/>
      <c r="H230" s="99"/>
      <c r="I230" s="99"/>
    </row>
    <row r="231" spans="1:9" x14ac:dyDescent="0.25">
      <c r="A231" s="134"/>
      <c r="B231" s="134"/>
      <c r="C231" s="134"/>
      <c r="D231" s="134"/>
      <c r="E231" s="99"/>
      <c r="F231" s="99"/>
      <c r="G231" s="99"/>
      <c r="H231" s="99"/>
      <c r="I231" s="99"/>
    </row>
    <row r="232" spans="1:9" x14ac:dyDescent="0.25">
      <c r="A232" s="134"/>
      <c r="B232" s="134"/>
      <c r="C232" s="134"/>
      <c r="D232" s="134"/>
      <c r="E232" s="99"/>
      <c r="F232" s="99"/>
      <c r="G232" s="99"/>
      <c r="H232" s="99"/>
      <c r="I232" s="99"/>
    </row>
    <row r="233" spans="1:9" x14ac:dyDescent="0.25">
      <c r="A233" s="134"/>
      <c r="B233" s="134"/>
      <c r="C233" s="134"/>
      <c r="D233" s="134"/>
      <c r="E233" s="99"/>
      <c r="F233" s="99"/>
      <c r="G233" s="99"/>
      <c r="H233" s="99"/>
      <c r="I233" s="99"/>
    </row>
    <row r="234" spans="1:9" x14ac:dyDescent="0.25">
      <c r="A234" s="134"/>
      <c r="B234" s="134"/>
      <c r="C234" s="134"/>
      <c r="D234" s="134"/>
      <c r="E234" s="99"/>
      <c r="F234" s="99"/>
      <c r="G234" s="99"/>
      <c r="H234" s="99"/>
      <c r="I234" s="99"/>
    </row>
    <row r="235" spans="1:9" x14ac:dyDescent="0.25">
      <c r="A235" s="134"/>
      <c r="B235" s="134"/>
      <c r="C235" s="134"/>
      <c r="D235" s="134"/>
      <c r="E235" s="99"/>
      <c r="F235" s="99"/>
      <c r="G235" s="99"/>
      <c r="H235" s="99"/>
      <c r="I235" s="99"/>
    </row>
    <row r="236" spans="1:9" x14ac:dyDescent="0.25">
      <c r="A236" s="134"/>
      <c r="B236" s="134"/>
      <c r="C236" s="134"/>
      <c r="D236" s="134"/>
      <c r="E236" s="99"/>
      <c r="F236" s="99"/>
      <c r="G236" s="99"/>
      <c r="H236" s="99"/>
      <c r="I236" s="99"/>
    </row>
    <row r="237" spans="1:9" x14ac:dyDescent="0.25">
      <c r="A237" s="134"/>
      <c r="B237" s="134"/>
      <c r="C237" s="134"/>
      <c r="D237" s="134"/>
      <c r="E237" s="99"/>
      <c r="F237" s="99"/>
      <c r="G237" s="99"/>
      <c r="H237" s="99"/>
      <c r="I237" s="99"/>
    </row>
    <row r="238" spans="1:9" x14ac:dyDescent="0.25">
      <c r="A238" s="134"/>
      <c r="B238" s="134"/>
      <c r="C238" s="134"/>
      <c r="D238" s="134"/>
      <c r="E238" s="99"/>
      <c r="F238" s="99"/>
      <c r="G238" s="99"/>
      <c r="H238" s="99"/>
      <c r="I238" s="99"/>
    </row>
    <row r="239" spans="1:9" x14ac:dyDescent="0.25">
      <c r="A239" s="134"/>
      <c r="B239" s="134"/>
      <c r="C239" s="134"/>
      <c r="D239" s="134"/>
      <c r="E239" s="99"/>
      <c r="F239" s="99"/>
      <c r="G239" s="99"/>
      <c r="H239" s="99"/>
      <c r="I239" s="99"/>
    </row>
    <row r="240" spans="1:9" x14ac:dyDescent="0.25">
      <c r="A240" s="134"/>
      <c r="B240" s="134"/>
      <c r="C240" s="134"/>
      <c r="D240" s="134"/>
      <c r="E240" s="99"/>
      <c r="F240" s="99"/>
      <c r="G240" s="99"/>
      <c r="H240" s="99"/>
      <c r="I240" s="99"/>
    </row>
    <row r="241" spans="1:9" x14ac:dyDescent="0.25">
      <c r="A241" s="134"/>
      <c r="B241" s="134"/>
      <c r="C241" s="134"/>
      <c r="D241" s="134"/>
      <c r="E241" s="99"/>
      <c r="F241" s="99"/>
      <c r="G241" s="99"/>
      <c r="H241" s="99"/>
      <c r="I241" s="99"/>
    </row>
    <row r="242" spans="1:9" x14ac:dyDescent="0.25">
      <c r="A242" s="134"/>
      <c r="B242" s="134"/>
      <c r="C242" s="134"/>
      <c r="D242" s="134"/>
      <c r="E242" s="99"/>
      <c r="F242" s="99"/>
      <c r="G242" s="99"/>
      <c r="H242" s="99"/>
      <c r="I242" s="99"/>
    </row>
    <row r="243" spans="1:9" x14ac:dyDescent="0.25">
      <c r="A243" s="134"/>
      <c r="B243" s="134"/>
      <c r="C243" s="134"/>
      <c r="D243" s="134"/>
      <c r="E243" s="99"/>
      <c r="F243" s="99"/>
      <c r="G243" s="99"/>
      <c r="H243" s="99"/>
      <c r="I243" s="99"/>
    </row>
    <row r="244" spans="1:9" x14ac:dyDescent="0.25">
      <c r="A244" s="134"/>
      <c r="B244" s="134"/>
      <c r="C244" s="134"/>
      <c r="D244" s="134"/>
      <c r="E244" s="99"/>
      <c r="F244" s="99"/>
      <c r="G244" s="99"/>
      <c r="H244" s="99"/>
      <c r="I244" s="99"/>
    </row>
    <row r="245" spans="1:9" x14ac:dyDescent="0.25">
      <c r="A245" s="134"/>
      <c r="B245" s="134"/>
      <c r="C245" s="134"/>
      <c r="D245" s="134"/>
      <c r="E245" s="99"/>
      <c r="F245" s="99"/>
      <c r="G245" s="99"/>
      <c r="H245" s="99"/>
      <c r="I245" s="99"/>
    </row>
    <row r="246" spans="1:9" x14ac:dyDescent="0.25">
      <c r="A246" s="134"/>
      <c r="B246" s="134"/>
      <c r="C246" s="134"/>
      <c r="D246" s="134"/>
      <c r="E246" s="99"/>
      <c r="F246" s="99"/>
      <c r="G246" s="99"/>
      <c r="H246" s="99"/>
      <c r="I246" s="99"/>
    </row>
    <row r="247" spans="1:9" x14ac:dyDescent="0.25">
      <c r="A247" s="134"/>
      <c r="B247" s="134"/>
      <c r="C247" s="134"/>
      <c r="D247" s="134"/>
      <c r="E247" s="99"/>
      <c r="F247" s="99"/>
      <c r="G247" s="99"/>
      <c r="H247" s="99"/>
      <c r="I247" s="99"/>
    </row>
    <row r="248" spans="1:9" x14ac:dyDescent="0.25">
      <c r="A248" s="134"/>
      <c r="B248" s="134"/>
      <c r="C248" s="134"/>
      <c r="D248" s="134"/>
      <c r="E248" s="99"/>
      <c r="F248" s="99"/>
      <c r="G248" s="99"/>
      <c r="H248" s="99"/>
      <c r="I248" s="99"/>
    </row>
    <row r="249" spans="1:9" x14ac:dyDescent="0.25">
      <c r="A249" s="134"/>
      <c r="B249" s="134"/>
      <c r="C249" s="134"/>
      <c r="D249" s="134"/>
      <c r="E249" s="99"/>
      <c r="F249" s="99"/>
      <c r="G249" s="99"/>
      <c r="H249" s="99"/>
      <c r="I249" s="99"/>
    </row>
    <row r="250" spans="1:9" x14ac:dyDescent="0.25">
      <c r="A250" s="134"/>
      <c r="B250" s="134"/>
      <c r="C250" s="134"/>
      <c r="D250" s="134"/>
      <c r="E250" s="99"/>
      <c r="F250" s="99"/>
      <c r="G250" s="99"/>
      <c r="H250" s="99"/>
      <c r="I250" s="99"/>
    </row>
    <row r="251" spans="1:9" x14ac:dyDescent="0.25">
      <c r="A251" s="134"/>
      <c r="B251" s="134"/>
      <c r="C251" s="134"/>
      <c r="D251" s="134"/>
      <c r="E251" s="99"/>
      <c r="F251" s="99"/>
      <c r="G251" s="99"/>
      <c r="H251" s="99"/>
      <c r="I251" s="99"/>
    </row>
    <row r="252" spans="1:9" x14ac:dyDescent="0.25">
      <c r="A252" s="134"/>
      <c r="B252" s="134"/>
      <c r="C252" s="134"/>
      <c r="D252" s="134"/>
      <c r="E252" s="99"/>
      <c r="F252" s="99"/>
      <c r="G252" s="99"/>
      <c r="H252" s="99"/>
      <c r="I252" s="99"/>
    </row>
    <row r="253" spans="1:9" x14ac:dyDescent="0.25">
      <c r="A253" s="134"/>
      <c r="B253" s="134"/>
      <c r="C253" s="134"/>
      <c r="D253" s="134"/>
      <c r="E253" s="99"/>
      <c r="F253" s="99"/>
      <c r="G253" s="99"/>
      <c r="H253" s="99"/>
      <c r="I253" s="99"/>
    </row>
    <row r="254" spans="1:9" x14ac:dyDescent="0.25">
      <c r="A254" s="134"/>
      <c r="B254" s="134"/>
      <c r="C254" s="134"/>
      <c r="D254" s="134"/>
      <c r="E254" s="99"/>
      <c r="F254" s="99"/>
      <c r="G254" s="99"/>
      <c r="H254" s="99"/>
      <c r="I254" s="99"/>
    </row>
    <row r="255" spans="1:9" x14ac:dyDescent="0.25">
      <c r="A255" s="134"/>
      <c r="B255" s="134"/>
      <c r="C255" s="134"/>
      <c r="D255" s="134"/>
      <c r="E255" s="99"/>
      <c r="F255" s="99"/>
      <c r="G255" s="99"/>
      <c r="H255" s="99"/>
      <c r="I255" s="99"/>
    </row>
    <row r="256" spans="1:9" x14ac:dyDescent="0.25">
      <c r="A256" s="134"/>
      <c r="B256" s="134"/>
      <c r="C256" s="134"/>
      <c r="D256" s="134"/>
      <c r="E256" s="99"/>
      <c r="F256" s="99"/>
      <c r="G256" s="99"/>
      <c r="H256" s="99"/>
      <c r="I256" s="99"/>
    </row>
    <row r="257" spans="1:9" x14ac:dyDescent="0.25">
      <c r="A257" s="134"/>
      <c r="B257" s="134"/>
      <c r="C257" s="134"/>
      <c r="D257" s="134"/>
      <c r="E257" s="99"/>
      <c r="F257" s="99"/>
      <c r="G257" s="99"/>
      <c r="H257" s="99"/>
      <c r="I257" s="99"/>
    </row>
    <row r="258" spans="1:9" x14ac:dyDescent="0.25">
      <c r="A258" s="134"/>
      <c r="B258" s="134"/>
      <c r="C258" s="134"/>
      <c r="D258" s="134"/>
      <c r="E258" s="99"/>
      <c r="F258" s="99"/>
      <c r="G258" s="99"/>
      <c r="H258" s="99"/>
      <c r="I258" s="99"/>
    </row>
    <row r="259" spans="1:9" x14ac:dyDescent="0.25">
      <c r="A259" s="134"/>
      <c r="B259" s="134"/>
      <c r="C259" s="134"/>
      <c r="D259" s="134"/>
      <c r="E259" s="99"/>
      <c r="F259" s="99"/>
      <c r="G259" s="99"/>
      <c r="H259" s="99"/>
      <c r="I259" s="99"/>
    </row>
    <row r="260" spans="1:9" x14ac:dyDescent="0.25">
      <c r="A260" s="134"/>
      <c r="B260" s="134"/>
      <c r="C260" s="134"/>
      <c r="D260" s="134"/>
      <c r="E260" s="99"/>
      <c r="F260" s="99"/>
      <c r="G260" s="99"/>
      <c r="H260" s="99"/>
      <c r="I260" s="9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319BC-A0B9-4EF3-B0BC-4667EB06094E}">
  <dimension ref="A1:J260"/>
  <sheetViews>
    <sheetView workbookViewId="0"/>
  </sheetViews>
  <sheetFormatPr defaultRowHeight="15.75" x14ac:dyDescent="0.25"/>
  <cols>
    <col min="1" max="1" width="23.75" style="105" customWidth="1"/>
    <col min="2" max="2" width="13.625" style="105" bestFit="1" customWidth="1"/>
    <col min="3" max="3" width="21.375" style="105" bestFit="1" customWidth="1"/>
    <col min="4" max="4" width="18.125" style="105" bestFit="1" customWidth="1"/>
    <col min="5" max="5" width="16.375" style="95" bestFit="1" customWidth="1"/>
    <col min="6" max="6" width="16.875" style="95" bestFit="1" customWidth="1"/>
    <col min="7" max="7" width="12.375" style="95" bestFit="1" customWidth="1"/>
    <col min="8" max="8" width="9" style="95"/>
    <col min="9" max="9" width="32" style="95" customWidth="1"/>
    <col min="10" max="16384" width="9" style="95"/>
  </cols>
  <sheetData>
    <row r="1" spans="1:10" x14ac:dyDescent="0.25">
      <c r="I1" s="106" t="s">
        <v>624</v>
      </c>
    </row>
    <row r="2" spans="1:10" ht="93.75" customHeight="1" thickBot="1" x14ac:dyDescent="0.3">
      <c r="I2" s="107"/>
    </row>
    <row r="3" spans="1:10" ht="16.5" thickBot="1" x14ac:dyDescent="0.3">
      <c r="A3" s="105" t="s">
        <v>625</v>
      </c>
    </row>
    <row r="4" spans="1:10" ht="16.5" thickBot="1" x14ac:dyDescent="0.3">
      <c r="A4" s="105" t="s">
        <v>626</v>
      </c>
      <c r="I4" s="108" t="s">
        <v>627</v>
      </c>
      <c r="J4" s="109"/>
    </row>
    <row r="5" spans="1:10" x14ac:dyDescent="0.25">
      <c r="A5" s="110" t="s">
        <v>628</v>
      </c>
      <c r="B5" s="111"/>
      <c r="D5" s="105" t="s">
        <v>629</v>
      </c>
    </row>
    <row r="6" spans="1:10" ht="16.5" thickBot="1" x14ac:dyDescent="0.3">
      <c r="A6" s="112" t="s">
        <v>630</v>
      </c>
      <c r="B6" s="113"/>
    </row>
    <row r="7" spans="1:10" x14ac:dyDescent="0.25">
      <c r="C7" s="110"/>
      <c r="D7" s="114" t="s">
        <v>631</v>
      </c>
      <c r="E7" s="115" t="s">
        <v>632</v>
      </c>
      <c r="F7" s="115" t="s">
        <v>633</v>
      </c>
      <c r="G7" s="116" t="s">
        <v>634</v>
      </c>
    </row>
    <row r="8" spans="1:10" x14ac:dyDescent="0.25">
      <c r="C8" s="117" t="s">
        <v>635</v>
      </c>
      <c r="D8" s="118"/>
      <c r="E8" s="100"/>
      <c r="F8" s="100"/>
      <c r="G8" s="119"/>
    </row>
    <row r="9" spans="1:10" x14ac:dyDescent="0.25">
      <c r="C9" s="117" t="s">
        <v>636</v>
      </c>
      <c r="D9" s="118"/>
      <c r="E9" s="100"/>
      <c r="F9" s="100"/>
      <c r="G9" s="119"/>
    </row>
    <row r="10" spans="1:10" x14ac:dyDescent="0.25">
      <c r="C10" s="117" t="s">
        <v>637</v>
      </c>
      <c r="D10" s="118"/>
      <c r="E10" s="100"/>
      <c r="F10" s="100"/>
      <c r="G10" s="119"/>
    </row>
    <row r="11" spans="1:10" x14ac:dyDescent="0.25">
      <c r="C11" s="117" t="s">
        <v>634</v>
      </c>
      <c r="D11" s="118"/>
      <c r="E11" s="100"/>
      <c r="F11" s="100"/>
      <c r="G11" s="119"/>
    </row>
    <row r="12" spans="1:10" x14ac:dyDescent="0.25">
      <c r="C12" s="120"/>
      <c r="D12" s="121" t="s">
        <v>631</v>
      </c>
      <c r="E12" s="122" t="s">
        <v>632</v>
      </c>
      <c r="F12" s="122" t="s">
        <v>633</v>
      </c>
      <c r="G12" s="123" t="s">
        <v>634</v>
      </c>
    </row>
    <row r="13" spans="1:10" x14ac:dyDescent="0.25">
      <c r="C13" s="117" t="s">
        <v>638</v>
      </c>
      <c r="D13" s="118"/>
      <c r="E13" s="100"/>
      <c r="F13" s="100"/>
      <c r="G13" s="119"/>
    </row>
    <row r="14" spans="1:10" x14ac:dyDescent="0.25">
      <c r="C14" s="117" t="s">
        <v>636</v>
      </c>
      <c r="D14" s="118"/>
      <c r="E14" s="100"/>
      <c r="F14" s="100"/>
      <c r="G14" s="119"/>
    </row>
    <row r="15" spans="1:10" x14ac:dyDescent="0.25">
      <c r="C15" s="117" t="s">
        <v>637</v>
      </c>
      <c r="D15" s="118"/>
      <c r="E15" s="100"/>
      <c r="F15" s="100"/>
      <c r="G15" s="119"/>
    </row>
    <row r="16" spans="1:10" x14ac:dyDescent="0.25">
      <c r="C16" s="117" t="s">
        <v>634</v>
      </c>
      <c r="D16" s="118"/>
      <c r="E16" s="100"/>
      <c r="F16" s="100"/>
      <c r="G16" s="119"/>
    </row>
    <row r="17" spans="1:7" x14ac:dyDescent="0.25">
      <c r="C17" s="120"/>
      <c r="D17" s="121" t="s">
        <v>631</v>
      </c>
      <c r="E17" s="122" t="s">
        <v>632</v>
      </c>
      <c r="F17" s="122" t="s">
        <v>633</v>
      </c>
      <c r="G17" s="123" t="s">
        <v>634</v>
      </c>
    </row>
    <row r="18" spans="1:7" x14ac:dyDescent="0.25">
      <c r="C18" s="117" t="s">
        <v>639</v>
      </c>
      <c r="D18" s="118"/>
      <c r="E18" s="100"/>
      <c r="F18" s="100"/>
      <c r="G18" s="119"/>
    </row>
    <row r="19" spans="1:7" x14ac:dyDescent="0.25">
      <c r="C19" s="117" t="s">
        <v>636</v>
      </c>
      <c r="D19" s="118"/>
      <c r="E19" s="100"/>
      <c r="F19" s="100"/>
      <c r="G19" s="119"/>
    </row>
    <row r="20" spans="1:7" x14ac:dyDescent="0.25">
      <c r="C20" s="117" t="s">
        <v>637</v>
      </c>
      <c r="D20" s="118"/>
      <c r="E20" s="100"/>
      <c r="F20" s="100"/>
      <c r="G20" s="119"/>
    </row>
    <row r="21" spans="1:7" x14ac:dyDescent="0.25">
      <c r="C21" s="117" t="s">
        <v>634</v>
      </c>
      <c r="D21" s="118"/>
      <c r="E21" s="100"/>
      <c r="F21" s="100"/>
      <c r="G21" s="119"/>
    </row>
    <row r="22" spans="1:7" ht="16.5" thickBot="1" x14ac:dyDescent="0.3">
      <c r="C22" s="112" t="s">
        <v>634</v>
      </c>
      <c r="D22" s="124"/>
      <c r="E22" s="125"/>
      <c r="F22" s="125"/>
      <c r="G22" s="126"/>
    </row>
    <row r="23" spans="1:7" x14ac:dyDescent="0.25">
      <c r="C23" s="127"/>
      <c r="D23" s="127"/>
      <c r="E23" s="128"/>
      <c r="F23" s="128"/>
      <c r="G23" s="128"/>
    </row>
    <row r="24" spans="1:7" x14ac:dyDescent="0.25">
      <c r="C24" s="127"/>
      <c r="D24" s="127"/>
      <c r="E24" s="128"/>
      <c r="F24" s="128"/>
      <c r="G24" s="128"/>
    </row>
    <row r="27" spans="1:7" x14ac:dyDescent="0.25">
      <c r="A27" s="105" t="s">
        <v>640</v>
      </c>
    </row>
    <row r="28" spans="1:7" x14ac:dyDescent="0.25">
      <c r="B28" s="105" t="s">
        <v>641</v>
      </c>
      <c r="C28" s="129" t="s">
        <v>642</v>
      </c>
    </row>
    <row r="29" spans="1:7" x14ac:dyDescent="0.25">
      <c r="B29" s="105" t="s">
        <v>643</v>
      </c>
      <c r="C29" s="129" t="s">
        <v>644</v>
      </c>
      <c r="D29" s="105" t="s">
        <v>645</v>
      </c>
    </row>
    <row r="30" spans="1:7" x14ac:dyDescent="0.25">
      <c r="B30" s="105" t="s">
        <v>646</v>
      </c>
      <c r="C30" s="129" t="s">
        <v>647</v>
      </c>
      <c r="D30" s="105" t="s">
        <v>648</v>
      </c>
    </row>
    <row r="31" spans="1:7" x14ac:dyDescent="0.25">
      <c r="B31" s="105" t="s">
        <v>649</v>
      </c>
      <c r="C31" s="130">
        <f>COUNTA(A43:A260)</f>
        <v>7</v>
      </c>
      <c r="D31" s="105" t="s">
        <v>650</v>
      </c>
    </row>
    <row r="32" spans="1:7" x14ac:dyDescent="0.25">
      <c r="B32" s="105" t="s">
        <v>651</v>
      </c>
      <c r="C32" s="130">
        <f>COUNTA(B43:B260)</f>
        <v>9</v>
      </c>
      <c r="D32" s="105" t="s">
        <v>652</v>
      </c>
    </row>
    <row r="33" spans="1:10" x14ac:dyDescent="0.25">
      <c r="B33" s="105" t="s">
        <v>653</v>
      </c>
      <c r="C33" s="130">
        <f>COUNTA(C43:C260)</f>
        <v>3</v>
      </c>
    </row>
    <row r="34" spans="1:10" x14ac:dyDescent="0.25">
      <c r="B34" s="105" t="s">
        <v>654</v>
      </c>
      <c r="C34" s="129" t="s">
        <v>655</v>
      </c>
      <c r="D34" s="105" t="s">
        <v>656</v>
      </c>
    </row>
    <row r="35" spans="1:10" x14ac:dyDescent="0.25">
      <c r="B35" s="105" t="s">
        <v>657</v>
      </c>
      <c r="C35" s="129" t="s">
        <v>704</v>
      </c>
      <c r="D35" s="105" t="s">
        <v>700</v>
      </c>
    </row>
    <row r="36" spans="1:10" x14ac:dyDescent="0.25">
      <c r="B36" s="105" t="s">
        <v>659</v>
      </c>
      <c r="C36" s="131" t="s">
        <v>41</v>
      </c>
      <c r="D36" s="105" t="s">
        <v>660</v>
      </c>
    </row>
    <row r="37" spans="1:10" x14ac:dyDescent="0.25">
      <c r="B37" s="105" t="s">
        <v>661</v>
      </c>
      <c r="C37" s="132"/>
      <c r="D37" s="105" t="s">
        <v>662</v>
      </c>
    </row>
    <row r="38" spans="1:10" x14ac:dyDescent="0.25">
      <c r="B38" s="105" t="s">
        <v>663</v>
      </c>
      <c r="C38" s="133"/>
      <c r="D38" s="105" t="s">
        <v>664</v>
      </c>
    </row>
    <row r="41" spans="1:10" x14ac:dyDescent="0.25">
      <c r="A41" s="118" t="s">
        <v>665</v>
      </c>
      <c r="B41" s="118" t="s">
        <v>666</v>
      </c>
      <c r="C41" s="118" t="s">
        <v>667</v>
      </c>
      <c r="D41" s="118" t="s">
        <v>681</v>
      </c>
      <c r="E41" s="100" t="s">
        <v>682</v>
      </c>
      <c r="F41" s="100" t="s">
        <v>683</v>
      </c>
      <c r="G41" s="100" t="s">
        <v>684</v>
      </c>
      <c r="H41" s="100" t="s">
        <v>685</v>
      </c>
      <c r="I41" s="100" t="s">
        <v>686</v>
      </c>
      <c r="J41" s="95" t="s">
        <v>687</v>
      </c>
    </row>
    <row r="42" spans="1:10" x14ac:dyDescent="0.25">
      <c r="A42" s="118" t="s">
        <v>668</v>
      </c>
      <c r="B42" s="118" t="s">
        <v>669</v>
      </c>
      <c r="C42" s="118" t="s">
        <v>670</v>
      </c>
      <c r="D42" s="118" t="s">
        <v>688</v>
      </c>
      <c r="E42" s="100" t="s">
        <v>696</v>
      </c>
      <c r="F42" s="100" t="s">
        <v>697</v>
      </c>
      <c r="G42" s="100" t="s">
        <v>698</v>
      </c>
      <c r="H42" s="100" t="s">
        <v>699</v>
      </c>
      <c r="I42" s="100"/>
    </row>
    <row r="43" spans="1:10" x14ac:dyDescent="0.25">
      <c r="A43" s="134" t="s">
        <v>671</v>
      </c>
      <c r="B43" s="134" t="s">
        <v>689</v>
      </c>
      <c r="C43" s="134" t="s">
        <v>672</v>
      </c>
      <c r="D43" s="134"/>
      <c r="E43" s="99"/>
      <c r="F43" s="99"/>
      <c r="G43" s="99"/>
      <c r="H43" s="99"/>
      <c r="I43" s="99"/>
    </row>
    <row r="44" spans="1:10" x14ac:dyDescent="0.25">
      <c r="A44" s="134" t="s">
        <v>673</v>
      </c>
      <c r="B44" s="134" t="s">
        <v>690</v>
      </c>
      <c r="C44" s="134" t="s">
        <v>674</v>
      </c>
      <c r="D44" s="134"/>
      <c r="E44" s="99"/>
      <c r="F44" s="99"/>
      <c r="G44" s="99"/>
      <c r="H44" s="99"/>
      <c r="I44" s="99"/>
    </row>
    <row r="45" spans="1:10" x14ac:dyDescent="0.25">
      <c r="A45" s="134" t="s">
        <v>675</v>
      </c>
      <c r="B45" s="134" t="s">
        <v>679</v>
      </c>
      <c r="C45" s="134" t="s">
        <v>676</v>
      </c>
      <c r="D45" s="134"/>
      <c r="E45" s="99"/>
      <c r="F45" s="99"/>
      <c r="G45" s="99"/>
      <c r="H45" s="99"/>
      <c r="I45" s="99"/>
    </row>
    <row r="46" spans="1:10" x14ac:dyDescent="0.25">
      <c r="A46" s="134" t="s">
        <v>677</v>
      </c>
      <c r="B46" s="134" t="s">
        <v>139</v>
      </c>
      <c r="C46" s="134"/>
      <c r="D46" s="134"/>
      <c r="E46" s="99"/>
      <c r="F46" s="99"/>
      <c r="G46" s="99"/>
      <c r="H46" s="99"/>
      <c r="I46" s="99"/>
    </row>
    <row r="47" spans="1:10" x14ac:dyDescent="0.25">
      <c r="A47" s="134" t="s">
        <v>678</v>
      </c>
      <c r="B47" s="134" t="s">
        <v>691</v>
      </c>
      <c r="C47" s="134"/>
      <c r="D47" s="134"/>
      <c r="E47" s="99"/>
      <c r="F47" s="99"/>
      <c r="G47" s="99"/>
      <c r="H47" s="99"/>
      <c r="I47" s="99"/>
    </row>
    <row r="48" spans="1:10" x14ac:dyDescent="0.25">
      <c r="A48" s="134" t="s">
        <v>679</v>
      </c>
      <c r="B48" s="134" t="s">
        <v>692</v>
      </c>
      <c r="C48" s="134"/>
      <c r="D48" s="134"/>
      <c r="E48" s="99"/>
      <c r="F48" s="99"/>
      <c r="G48" s="99"/>
      <c r="H48" s="99"/>
      <c r="I48" s="99"/>
    </row>
    <row r="49" spans="1:9" x14ac:dyDescent="0.25">
      <c r="A49" s="134" t="s">
        <v>680</v>
      </c>
      <c r="B49" s="134" t="s">
        <v>693</v>
      </c>
      <c r="C49" s="134"/>
      <c r="D49" s="134"/>
      <c r="E49" s="99"/>
      <c r="F49" s="99"/>
      <c r="G49" s="99"/>
      <c r="H49" s="99"/>
      <c r="I49" s="99"/>
    </row>
    <row r="50" spans="1:9" x14ac:dyDescent="0.25">
      <c r="A50" s="134"/>
      <c r="B50" s="134" t="s">
        <v>694</v>
      </c>
      <c r="C50" s="134"/>
      <c r="D50" s="134"/>
      <c r="E50" s="99"/>
      <c r="F50" s="99"/>
      <c r="G50" s="99"/>
      <c r="H50" s="99"/>
      <c r="I50" s="99"/>
    </row>
    <row r="51" spans="1:9" x14ac:dyDescent="0.25">
      <c r="A51" s="134"/>
      <c r="B51" s="134" t="s">
        <v>695</v>
      </c>
      <c r="C51" s="134"/>
      <c r="D51" s="134"/>
      <c r="E51" s="99"/>
      <c r="F51" s="99"/>
      <c r="G51" s="99"/>
      <c r="H51" s="99"/>
      <c r="I51" s="99"/>
    </row>
    <row r="52" spans="1:9" x14ac:dyDescent="0.25">
      <c r="A52" s="134"/>
      <c r="B52" s="134"/>
      <c r="C52" s="134"/>
      <c r="D52" s="134"/>
      <c r="E52" s="99"/>
      <c r="F52" s="99"/>
      <c r="G52" s="99"/>
      <c r="H52" s="99"/>
      <c r="I52" s="99"/>
    </row>
    <row r="53" spans="1:9" x14ac:dyDescent="0.25">
      <c r="A53" s="134"/>
      <c r="B53" s="134"/>
      <c r="C53" s="134"/>
      <c r="D53" s="134"/>
      <c r="E53" s="99"/>
      <c r="F53" s="99"/>
      <c r="G53" s="99"/>
      <c r="H53" s="99"/>
      <c r="I53" s="99"/>
    </row>
    <row r="54" spans="1:9" x14ac:dyDescent="0.25">
      <c r="A54" s="134"/>
      <c r="B54" s="134"/>
      <c r="C54" s="134"/>
      <c r="D54" s="134"/>
      <c r="E54" s="99"/>
      <c r="F54" s="99"/>
      <c r="G54" s="99"/>
      <c r="H54" s="99"/>
      <c r="I54" s="99"/>
    </row>
    <row r="55" spans="1:9" x14ac:dyDescent="0.25">
      <c r="A55" s="134"/>
      <c r="B55" s="134"/>
      <c r="C55" s="134"/>
      <c r="D55" s="134"/>
      <c r="E55" s="99"/>
      <c r="F55" s="99"/>
      <c r="G55" s="99"/>
      <c r="H55" s="99"/>
      <c r="I55" s="99"/>
    </row>
    <row r="56" spans="1:9" x14ac:dyDescent="0.25">
      <c r="A56" s="134"/>
      <c r="B56" s="134"/>
      <c r="C56" s="134"/>
      <c r="D56" s="134"/>
      <c r="E56" s="99"/>
      <c r="F56" s="99"/>
      <c r="G56" s="99"/>
      <c r="H56" s="99"/>
      <c r="I56" s="99"/>
    </row>
    <row r="57" spans="1:9" x14ac:dyDescent="0.25">
      <c r="A57" s="134"/>
      <c r="B57" s="134"/>
      <c r="C57" s="134"/>
      <c r="D57" s="134"/>
      <c r="E57" s="99"/>
      <c r="F57" s="99"/>
      <c r="G57" s="99"/>
      <c r="H57" s="99"/>
      <c r="I57" s="99"/>
    </row>
    <row r="58" spans="1:9" x14ac:dyDescent="0.25">
      <c r="A58" s="134"/>
      <c r="B58" s="134"/>
      <c r="C58" s="134"/>
      <c r="D58" s="134"/>
      <c r="E58" s="99"/>
      <c r="F58" s="99"/>
      <c r="G58" s="99"/>
      <c r="H58" s="99"/>
      <c r="I58" s="99"/>
    </row>
    <row r="59" spans="1:9" x14ac:dyDescent="0.25">
      <c r="A59" s="134"/>
      <c r="B59" s="134"/>
      <c r="C59" s="134"/>
      <c r="D59" s="134"/>
      <c r="E59" s="99"/>
      <c r="F59" s="99"/>
      <c r="G59" s="99"/>
      <c r="H59" s="99"/>
      <c r="I59" s="99"/>
    </row>
    <row r="60" spans="1:9" x14ac:dyDescent="0.25">
      <c r="A60" s="134"/>
      <c r="B60" s="134"/>
      <c r="C60" s="134"/>
      <c r="D60" s="134"/>
      <c r="E60" s="99"/>
      <c r="F60" s="99"/>
      <c r="G60" s="99"/>
      <c r="H60" s="99"/>
      <c r="I60" s="99"/>
    </row>
    <row r="61" spans="1:9" x14ac:dyDescent="0.25">
      <c r="A61" s="134"/>
      <c r="B61" s="134"/>
      <c r="C61" s="134"/>
      <c r="D61" s="134"/>
      <c r="E61" s="99"/>
      <c r="F61" s="99"/>
      <c r="G61" s="99"/>
      <c r="H61" s="99"/>
      <c r="I61" s="99"/>
    </row>
    <row r="62" spans="1:9" x14ac:dyDescent="0.25">
      <c r="A62" s="134"/>
      <c r="B62" s="134"/>
      <c r="C62" s="134"/>
      <c r="D62" s="134"/>
      <c r="E62" s="99"/>
      <c r="F62" s="99"/>
      <c r="G62" s="99"/>
      <c r="H62" s="99"/>
      <c r="I62" s="99"/>
    </row>
    <row r="63" spans="1:9" x14ac:dyDescent="0.25">
      <c r="A63" s="134"/>
      <c r="B63" s="134"/>
      <c r="C63" s="134"/>
      <c r="D63" s="134"/>
      <c r="E63" s="99"/>
      <c r="F63" s="99"/>
      <c r="G63" s="99"/>
      <c r="H63" s="99"/>
      <c r="I63" s="99"/>
    </row>
    <row r="64" spans="1:9" x14ac:dyDescent="0.25">
      <c r="A64" s="134"/>
      <c r="B64" s="134"/>
      <c r="C64" s="134"/>
      <c r="D64" s="134"/>
      <c r="E64" s="99"/>
      <c r="F64" s="99"/>
      <c r="G64" s="99"/>
      <c r="H64" s="99"/>
      <c r="I64" s="99"/>
    </row>
    <row r="65" spans="1:9" x14ac:dyDescent="0.25">
      <c r="A65" s="134"/>
      <c r="B65" s="134"/>
      <c r="C65" s="134"/>
      <c r="D65" s="134"/>
      <c r="E65" s="99"/>
      <c r="F65" s="99"/>
      <c r="G65" s="99"/>
      <c r="H65" s="99"/>
      <c r="I65" s="99"/>
    </row>
    <row r="66" spans="1:9" x14ac:dyDescent="0.25">
      <c r="A66" s="134"/>
      <c r="B66" s="134"/>
      <c r="C66" s="134"/>
      <c r="D66" s="134"/>
      <c r="E66" s="99"/>
      <c r="F66" s="99"/>
      <c r="G66" s="99"/>
      <c r="H66" s="99"/>
      <c r="I66" s="99"/>
    </row>
    <row r="67" spans="1:9" x14ac:dyDescent="0.25">
      <c r="A67" s="134"/>
      <c r="B67" s="134"/>
      <c r="C67" s="134"/>
      <c r="D67" s="134"/>
      <c r="E67" s="99"/>
      <c r="F67" s="99"/>
      <c r="G67" s="99"/>
      <c r="H67" s="99"/>
      <c r="I67" s="99"/>
    </row>
    <row r="68" spans="1:9" x14ac:dyDescent="0.25">
      <c r="A68" s="134"/>
      <c r="B68" s="134"/>
      <c r="C68" s="134"/>
      <c r="D68" s="134"/>
      <c r="E68" s="99"/>
      <c r="F68" s="99"/>
      <c r="G68" s="99"/>
      <c r="H68" s="99"/>
      <c r="I68" s="99"/>
    </row>
    <row r="69" spans="1:9" x14ac:dyDescent="0.25">
      <c r="A69" s="134"/>
      <c r="B69" s="134"/>
      <c r="C69" s="134"/>
      <c r="D69" s="134"/>
      <c r="E69" s="99"/>
      <c r="F69" s="99"/>
      <c r="G69" s="99"/>
      <c r="H69" s="99"/>
      <c r="I69" s="99"/>
    </row>
    <row r="70" spans="1:9" x14ac:dyDescent="0.25">
      <c r="A70" s="134"/>
      <c r="B70" s="134"/>
      <c r="C70" s="134"/>
      <c r="D70" s="134"/>
      <c r="E70" s="99"/>
      <c r="F70" s="99"/>
      <c r="G70" s="99"/>
      <c r="H70" s="99"/>
      <c r="I70" s="99"/>
    </row>
    <row r="71" spans="1:9" x14ac:dyDescent="0.25">
      <c r="A71" s="134"/>
      <c r="B71" s="134"/>
      <c r="C71" s="134"/>
      <c r="D71" s="134"/>
      <c r="E71" s="99"/>
      <c r="F71" s="99"/>
      <c r="G71" s="99"/>
      <c r="H71" s="99"/>
      <c r="I71" s="99"/>
    </row>
    <row r="72" spans="1:9" x14ac:dyDescent="0.25">
      <c r="A72" s="134"/>
      <c r="B72" s="134"/>
      <c r="C72" s="134"/>
      <c r="D72" s="134"/>
      <c r="E72" s="99"/>
      <c r="F72" s="99"/>
      <c r="G72" s="99"/>
      <c r="H72" s="99"/>
      <c r="I72" s="99"/>
    </row>
    <row r="73" spans="1:9" x14ac:dyDescent="0.25">
      <c r="A73" s="134"/>
      <c r="B73" s="134"/>
      <c r="C73" s="134"/>
      <c r="D73" s="134"/>
      <c r="E73" s="99"/>
      <c r="F73" s="99"/>
      <c r="G73" s="99"/>
      <c r="H73" s="99"/>
      <c r="I73" s="99"/>
    </row>
    <row r="74" spans="1:9" x14ac:dyDescent="0.25">
      <c r="A74" s="134"/>
      <c r="B74" s="134"/>
      <c r="C74" s="134"/>
      <c r="D74" s="134"/>
      <c r="E74" s="99"/>
      <c r="F74" s="99"/>
      <c r="G74" s="99"/>
      <c r="H74" s="99"/>
      <c r="I74" s="99"/>
    </row>
    <row r="75" spans="1:9" x14ac:dyDescent="0.25">
      <c r="A75" s="134"/>
      <c r="B75" s="134"/>
      <c r="C75" s="134"/>
      <c r="D75" s="134"/>
      <c r="E75" s="99"/>
      <c r="F75" s="99"/>
      <c r="G75" s="99"/>
      <c r="H75" s="99"/>
      <c r="I75" s="99"/>
    </row>
    <row r="76" spans="1:9" x14ac:dyDescent="0.25">
      <c r="A76" s="134"/>
      <c r="B76" s="134"/>
      <c r="C76" s="134"/>
      <c r="D76" s="134"/>
      <c r="E76" s="99"/>
      <c r="F76" s="99"/>
      <c r="G76" s="99"/>
      <c r="H76" s="99"/>
      <c r="I76" s="99"/>
    </row>
    <row r="77" spans="1:9" x14ac:dyDescent="0.25">
      <c r="A77" s="134"/>
      <c r="B77" s="134"/>
      <c r="C77" s="134"/>
      <c r="D77" s="134"/>
      <c r="E77" s="99"/>
      <c r="F77" s="99"/>
      <c r="G77" s="99"/>
      <c r="H77" s="99"/>
      <c r="I77" s="99"/>
    </row>
    <row r="78" spans="1:9" x14ac:dyDescent="0.25">
      <c r="A78" s="134"/>
      <c r="B78" s="134"/>
      <c r="C78" s="134"/>
      <c r="D78" s="134"/>
      <c r="E78" s="99"/>
      <c r="F78" s="99"/>
      <c r="G78" s="99"/>
      <c r="H78" s="99"/>
      <c r="I78" s="99"/>
    </row>
    <row r="79" spans="1:9" x14ac:dyDescent="0.25">
      <c r="A79" s="134"/>
      <c r="B79" s="134"/>
      <c r="C79" s="134"/>
      <c r="D79" s="134"/>
      <c r="E79" s="99"/>
      <c r="F79" s="99"/>
      <c r="G79" s="99"/>
      <c r="H79" s="99"/>
      <c r="I79" s="99"/>
    </row>
    <row r="80" spans="1:9" x14ac:dyDescent="0.25">
      <c r="A80" s="134"/>
      <c r="B80" s="134"/>
      <c r="C80" s="134"/>
      <c r="D80" s="134"/>
      <c r="E80" s="99"/>
      <c r="F80" s="99"/>
      <c r="G80" s="99"/>
      <c r="H80" s="99"/>
      <c r="I80" s="99"/>
    </row>
    <row r="81" spans="1:9" x14ac:dyDescent="0.25">
      <c r="A81" s="134"/>
      <c r="B81" s="134"/>
      <c r="C81" s="134"/>
      <c r="D81" s="134"/>
      <c r="E81" s="99"/>
      <c r="F81" s="99"/>
      <c r="G81" s="99"/>
      <c r="H81" s="99"/>
      <c r="I81" s="99"/>
    </row>
    <row r="82" spans="1:9" x14ac:dyDescent="0.25">
      <c r="A82" s="134"/>
      <c r="B82" s="134"/>
      <c r="C82" s="134"/>
      <c r="D82" s="134"/>
      <c r="E82" s="99"/>
      <c r="F82" s="99"/>
      <c r="G82" s="99"/>
      <c r="H82" s="99"/>
      <c r="I82" s="99"/>
    </row>
    <row r="83" spans="1:9" x14ac:dyDescent="0.25">
      <c r="A83" s="134"/>
      <c r="B83" s="134"/>
      <c r="C83" s="134"/>
      <c r="D83" s="134"/>
      <c r="E83" s="99"/>
      <c r="F83" s="99"/>
      <c r="G83" s="99"/>
      <c r="H83" s="99"/>
      <c r="I83" s="99"/>
    </row>
    <row r="84" spans="1:9" x14ac:dyDescent="0.25">
      <c r="A84" s="134"/>
      <c r="B84" s="134"/>
      <c r="C84" s="134"/>
      <c r="D84" s="134"/>
      <c r="E84" s="99"/>
      <c r="F84" s="99"/>
      <c r="G84" s="99"/>
      <c r="H84" s="99"/>
      <c r="I84" s="99"/>
    </row>
    <row r="85" spans="1:9" x14ac:dyDescent="0.25">
      <c r="A85" s="134"/>
      <c r="B85" s="134"/>
      <c r="C85" s="134"/>
      <c r="D85" s="134"/>
      <c r="E85" s="99"/>
      <c r="F85" s="99"/>
      <c r="G85" s="99"/>
      <c r="H85" s="99"/>
      <c r="I85" s="99"/>
    </row>
    <row r="86" spans="1:9" x14ac:dyDescent="0.25">
      <c r="A86" s="134"/>
      <c r="B86" s="134"/>
      <c r="C86" s="134"/>
      <c r="D86" s="134"/>
      <c r="E86" s="99"/>
      <c r="F86" s="99"/>
      <c r="G86" s="99"/>
      <c r="H86" s="99"/>
      <c r="I86" s="99"/>
    </row>
    <row r="87" spans="1:9" x14ac:dyDescent="0.25">
      <c r="A87" s="134"/>
      <c r="B87" s="134"/>
      <c r="C87" s="134"/>
      <c r="D87" s="134"/>
      <c r="E87" s="99"/>
      <c r="F87" s="99"/>
      <c r="G87" s="99"/>
      <c r="H87" s="99"/>
      <c r="I87" s="99"/>
    </row>
    <row r="88" spans="1:9" x14ac:dyDescent="0.25">
      <c r="A88" s="134"/>
      <c r="B88" s="134"/>
      <c r="C88" s="134"/>
      <c r="D88" s="134"/>
      <c r="E88" s="99"/>
      <c r="F88" s="99"/>
      <c r="G88" s="99"/>
      <c r="H88" s="99"/>
      <c r="I88" s="99"/>
    </row>
    <row r="89" spans="1:9" x14ac:dyDescent="0.25">
      <c r="A89" s="134"/>
      <c r="B89" s="134"/>
      <c r="C89" s="134"/>
      <c r="D89" s="134"/>
      <c r="E89" s="99"/>
      <c r="F89" s="99"/>
      <c r="G89" s="99"/>
      <c r="H89" s="99"/>
      <c r="I89" s="99"/>
    </row>
    <row r="90" spans="1:9" x14ac:dyDescent="0.25">
      <c r="A90" s="134"/>
      <c r="B90" s="134"/>
      <c r="C90" s="134"/>
      <c r="D90" s="134"/>
      <c r="E90" s="99"/>
      <c r="F90" s="99"/>
      <c r="G90" s="99"/>
      <c r="H90" s="99"/>
      <c r="I90" s="99"/>
    </row>
    <row r="91" spans="1:9" x14ac:dyDescent="0.25">
      <c r="A91" s="134"/>
      <c r="B91" s="134"/>
      <c r="C91" s="134"/>
      <c r="D91" s="134"/>
      <c r="E91" s="99"/>
      <c r="F91" s="99"/>
      <c r="G91" s="99"/>
      <c r="H91" s="99"/>
      <c r="I91" s="99"/>
    </row>
    <row r="92" spans="1:9" x14ac:dyDescent="0.25">
      <c r="A92" s="134"/>
      <c r="B92" s="134"/>
      <c r="C92" s="134"/>
      <c r="D92" s="134"/>
      <c r="E92" s="99"/>
      <c r="F92" s="99"/>
      <c r="G92" s="99"/>
      <c r="H92" s="99"/>
      <c r="I92" s="99"/>
    </row>
    <row r="93" spans="1:9" x14ac:dyDescent="0.25">
      <c r="A93" s="134"/>
      <c r="B93" s="134"/>
      <c r="C93" s="134"/>
      <c r="D93" s="134"/>
      <c r="E93" s="99"/>
      <c r="F93" s="99"/>
      <c r="G93" s="99"/>
      <c r="H93" s="99"/>
      <c r="I93" s="99"/>
    </row>
    <row r="94" spans="1:9" x14ac:dyDescent="0.25">
      <c r="A94" s="134"/>
      <c r="B94" s="134"/>
      <c r="C94" s="134"/>
      <c r="D94" s="134"/>
      <c r="E94" s="99"/>
      <c r="F94" s="99"/>
      <c r="G94" s="99"/>
      <c r="H94" s="99"/>
      <c r="I94" s="99"/>
    </row>
    <row r="95" spans="1:9" x14ac:dyDescent="0.25">
      <c r="A95" s="134"/>
      <c r="B95" s="134"/>
      <c r="C95" s="134"/>
      <c r="D95" s="134"/>
      <c r="E95" s="99"/>
      <c r="F95" s="99"/>
      <c r="G95" s="99"/>
      <c r="H95" s="99"/>
      <c r="I95" s="99"/>
    </row>
    <row r="96" spans="1:9" x14ac:dyDescent="0.25">
      <c r="A96" s="134"/>
      <c r="B96" s="134"/>
      <c r="C96" s="134"/>
      <c r="D96" s="134"/>
      <c r="E96" s="99"/>
      <c r="F96" s="99"/>
      <c r="G96" s="99"/>
      <c r="H96" s="99"/>
      <c r="I96" s="99"/>
    </row>
    <row r="97" spans="1:9" x14ac:dyDescent="0.25">
      <c r="A97" s="134"/>
      <c r="B97" s="134"/>
      <c r="C97" s="134"/>
      <c r="D97" s="134"/>
      <c r="E97" s="99"/>
      <c r="F97" s="99"/>
      <c r="G97" s="99"/>
      <c r="H97" s="99"/>
      <c r="I97" s="99"/>
    </row>
    <row r="98" spans="1:9" x14ac:dyDescent="0.25">
      <c r="A98" s="134"/>
      <c r="B98" s="134"/>
      <c r="C98" s="134"/>
      <c r="D98" s="134"/>
      <c r="E98" s="99"/>
      <c r="F98" s="99"/>
      <c r="G98" s="99"/>
      <c r="H98" s="99"/>
      <c r="I98" s="99"/>
    </row>
    <row r="99" spans="1:9" x14ac:dyDescent="0.25">
      <c r="A99" s="134"/>
      <c r="B99" s="134"/>
      <c r="C99" s="134"/>
      <c r="D99" s="134"/>
      <c r="E99" s="99"/>
      <c r="F99" s="99"/>
      <c r="G99" s="99"/>
      <c r="H99" s="99"/>
      <c r="I99" s="99"/>
    </row>
    <row r="100" spans="1:9" x14ac:dyDescent="0.25">
      <c r="A100" s="134"/>
      <c r="B100" s="134"/>
      <c r="C100" s="134"/>
      <c r="D100" s="134"/>
      <c r="E100" s="99"/>
      <c r="F100" s="99"/>
      <c r="G100" s="99"/>
      <c r="H100" s="99"/>
      <c r="I100" s="99"/>
    </row>
    <row r="101" spans="1:9" x14ac:dyDescent="0.25">
      <c r="A101" s="134"/>
      <c r="B101" s="134"/>
      <c r="C101" s="134"/>
      <c r="D101" s="134"/>
      <c r="E101" s="99"/>
      <c r="F101" s="99"/>
      <c r="G101" s="99"/>
      <c r="H101" s="99"/>
      <c r="I101" s="99"/>
    </row>
    <row r="102" spans="1:9" x14ac:dyDescent="0.25">
      <c r="A102" s="134"/>
      <c r="B102" s="134"/>
      <c r="C102" s="134"/>
      <c r="D102" s="134"/>
      <c r="E102" s="99"/>
      <c r="F102" s="99"/>
      <c r="G102" s="99"/>
      <c r="H102" s="99"/>
      <c r="I102" s="99"/>
    </row>
    <row r="103" spans="1:9" x14ac:dyDescent="0.25">
      <c r="A103" s="134"/>
      <c r="B103" s="134"/>
      <c r="C103" s="134"/>
      <c r="D103" s="134"/>
      <c r="E103" s="99"/>
      <c r="F103" s="99"/>
      <c r="G103" s="99"/>
      <c r="H103" s="99"/>
      <c r="I103" s="99"/>
    </row>
    <row r="104" spans="1:9" x14ac:dyDescent="0.25">
      <c r="A104" s="134"/>
      <c r="B104" s="134"/>
      <c r="C104" s="134"/>
      <c r="D104" s="134"/>
      <c r="E104" s="99"/>
      <c r="F104" s="99"/>
      <c r="G104" s="99"/>
      <c r="H104" s="99"/>
      <c r="I104" s="99"/>
    </row>
    <row r="105" spans="1:9" x14ac:dyDescent="0.25">
      <c r="A105" s="134"/>
      <c r="B105" s="134"/>
      <c r="C105" s="134"/>
      <c r="D105" s="134"/>
      <c r="E105" s="99"/>
      <c r="F105" s="99"/>
      <c r="G105" s="99"/>
      <c r="H105" s="99"/>
      <c r="I105" s="99"/>
    </row>
    <row r="106" spans="1:9" x14ac:dyDescent="0.25">
      <c r="A106" s="134"/>
      <c r="B106" s="134"/>
      <c r="C106" s="134"/>
      <c r="D106" s="134"/>
      <c r="E106" s="99"/>
      <c r="F106" s="99"/>
      <c r="G106" s="99"/>
      <c r="H106" s="99"/>
      <c r="I106" s="99"/>
    </row>
    <row r="107" spans="1:9" x14ac:dyDescent="0.25">
      <c r="A107" s="134"/>
      <c r="B107" s="134"/>
      <c r="C107" s="134"/>
      <c r="D107" s="134"/>
      <c r="E107" s="99"/>
      <c r="F107" s="99"/>
      <c r="G107" s="99"/>
      <c r="H107" s="99"/>
      <c r="I107" s="99"/>
    </row>
    <row r="108" spans="1:9" x14ac:dyDescent="0.25">
      <c r="A108" s="134"/>
      <c r="B108" s="134"/>
      <c r="C108" s="134"/>
      <c r="D108" s="134"/>
      <c r="E108" s="99"/>
      <c r="F108" s="99"/>
      <c r="G108" s="99"/>
      <c r="H108" s="99"/>
      <c r="I108" s="99"/>
    </row>
    <row r="109" spans="1:9" x14ac:dyDescent="0.25">
      <c r="A109" s="134"/>
      <c r="B109" s="134"/>
      <c r="C109" s="134"/>
      <c r="D109" s="134"/>
      <c r="E109" s="99"/>
      <c r="F109" s="99"/>
      <c r="G109" s="99"/>
      <c r="H109" s="99"/>
      <c r="I109" s="99"/>
    </row>
    <row r="110" spans="1:9" x14ac:dyDescent="0.25">
      <c r="A110" s="134"/>
      <c r="B110" s="134"/>
      <c r="C110" s="134"/>
      <c r="D110" s="134"/>
      <c r="E110" s="99"/>
      <c r="F110" s="99"/>
      <c r="G110" s="99"/>
      <c r="H110" s="99"/>
      <c r="I110" s="99"/>
    </row>
    <row r="111" spans="1:9" x14ac:dyDescent="0.25">
      <c r="A111" s="134"/>
      <c r="B111" s="134"/>
      <c r="C111" s="134"/>
      <c r="D111" s="134"/>
      <c r="E111" s="99"/>
      <c r="F111" s="99"/>
      <c r="G111" s="99"/>
      <c r="H111" s="99"/>
      <c r="I111" s="99"/>
    </row>
    <row r="112" spans="1:9" x14ac:dyDescent="0.25">
      <c r="A112" s="134"/>
      <c r="B112" s="134"/>
      <c r="C112" s="134"/>
      <c r="D112" s="134"/>
      <c r="E112" s="99"/>
      <c r="F112" s="99"/>
      <c r="G112" s="99"/>
      <c r="H112" s="99"/>
      <c r="I112" s="99"/>
    </row>
    <row r="113" spans="1:9" x14ac:dyDescent="0.25">
      <c r="A113" s="134"/>
      <c r="B113" s="134"/>
      <c r="C113" s="134"/>
      <c r="D113" s="134"/>
      <c r="E113" s="99"/>
      <c r="F113" s="99"/>
      <c r="G113" s="99"/>
      <c r="H113" s="99"/>
      <c r="I113" s="99"/>
    </row>
    <row r="114" spans="1:9" x14ac:dyDescent="0.25">
      <c r="A114" s="134"/>
      <c r="B114" s="134"/>
      <c r="C114" s="134"/>
      <c r="D114" s="134"/>
      <c r="E114" s="99"/>
      <c r="F114" s="99"/>
      <c r="G114" s="99"/>
      <c r="H114" s="99"/>
      <c r="I114" s="99"/>
    </row>
    <row r="115" spans="1:9" x14ac:dyDescent="0.25">
      <c r="A115" s="134"/>
      <c r="B115" s="134"/>
      <c r="C115" s="134"/>
      <c r="D115" s="134"/>
      <c r="E115" s="99"/>
      <c r="F115" s="99"/>
      <c r="G115" s="99"/>
      <c r="H115" s="99"/>
      <c r="I115" s="99"/>
    </row>
    <row r="116" spans="1:9" x14ac:dyDescent="0.25">
      <c r="A116" s="134"/>
      <c r="B116" s="134"/>
      <c r="C116" s="134"/>
      <c r="D116" s="134"/>
      <c r="E116" s="99"/>
      <c r="F116" s="99"/>
      <c r="G116" s="99"/>
      <c r="H116" s="99"/>
      <c r="I116" s="99"/>
    </row>
    <row r="117" spans="1:9" x14ac:dyDescent="0.25">
      <c r="A117" s="134"/>
      <c r="B117" s="134"/>
      <c r="C117" s="134"/>
      <c r="D117" s="134"/>
      <c r="E117" s="99"/>
      <c r="F117" s="99"/>
      <c r="G117" s="99"/>
      <c r="H117" s="99"/>
      <c r="I117" s="99"/>
    </row>
    <row r="118" spans="1:9" x14ac:dyDescent="0.25">
      <c r="A118" s="134"/>
      <c r="B118" s="134"/>
      <c r="C118" s="134"/>
      <c r="D118" s="134"/>
      <c r="E118" s="99"/>
      <c r="F118" s="99"/>
      <c r="G118" s="99"/>
      <c r="H118" s="99"/>
      <c r="I118" s="99"/>
    </row>
    <row r="119" spans="1:9" x14ac:dyDescent="0.25">
      <c r="A119" s="134"/>
      <c r="B119" s="134"/>
      <c r="C119" s="134"/>
      <c r="D119" s="134"/>
      <c r="E119" s="99"/>
      <c r="F119" s="99"/>
      <c r="G119" s="99"/>
      <c r="H119" s="99"/>
      <c r="I119" s="99"/>
    </row>
    <row r="120" spans="1:9" x14ac:dyDescent="0.25">
      <c r="A120" s="134"/>
      <c r="B120" s="134"/>
      <c r="C120" s="134"/>
      <c r="D120" s="134"/>
      <c r="E120" s="99"/>
      <c r="F120" s="99"/>
      <c r="G120" s="99"/>
      <c r="H120" s="99"/>
      <c r="I120" s="99"/>
    </row>
    <row r="121" spans="1:9" x14ac:dyDescent="0.25">
      <c r="A121" s="134"/>
      <c r="B121" s="134"/>
      <c r="C121" s="134"/>
      <c r="D121" s="134"/>
      <c r="E121" s="99"/>
      <c r="F121" s="99"/>
      <c r="G121" s="99"/>
      <c r="H121" s="99"/>
      <c r="I121" s="99"/>
    </row>
    <row r="122" spans="1:9" x14ac:dyDescent="0.25">
      <c r="A122" s="134"/>
      <c r="B122" s="134"/>
      <c r="C122" s="134"/>
      <c r="D122" s="134"/>
      <c r="E122" s="99"/>
      <c r="F122" s="99"/>
      <c r="G122" s="99"/>
      <c r="H122" s="99"/>
      <c r="I122" s="99"/>
    </row>
    <row r="123" spans="1:9" x14ac:dyDescent="0.25">
      <c r="A123" s="134"/>
      <c r="B123" s="134"/>
      <c r="C123" s="134"/>
      <c r="D123" s="134"/>
      <c r="E123" s="99"/>
      <c r="F123" s="99"/>
      <c r="G123" s="99"/>
      <c r="H123" s="99"/>
      <c r="I123" s="99"/>
    </row>
    <row r="124" spans="1:9" x14ac:dyDescent="0.25">
      <c r="A124" s="134"/>
      <c r="B124" s="134"/>
      <c r="C124" s="134"/>
      <c r="D124" s="134"/>
      <c r="E124" s="99"/>
      <c r="F124" s="99"/>
      <c r="G124" s="99"/>
      <c r="H124" s="99"/>
      <c r="I124" s="99"/>
    </row>
    <row r="125" spans="1:9" x14ac:dyDescent="0.25">
      <c r="A125" s="134"/>
      <c r="B125" s="134"/>
      <c r="C125" s="134"/>
      <c r="D125" s="134"/>
      <c r="E125" s="99"/>
      <c r="F125" s="99"/>
      <c r="G125" s="99"/>
      <c r="H125" s="99"/>
      <c r="I125" s="99"/>
    </row>
    <row r="126" spans="1:9" x14ac:dyDescent="0.25">
      <c r="A126" s="134"/>
      <c r="B126" s="134"/>
      <c r="C126" s="134"/>
      <c r="D126" s="134"/>
      <c r="E126" s="99"/>
      <c r="F126" s="99"/>
      <c r="G126" s="99"/>
      <c r="H126" s="99"/>
      <c r="I126" s="99"/>
    </row>
    <row r="127" spans="1:9" x14ac:dyDescent="0.25">
      <c r="A127" s="134"/>
      <c r="B127" s="134"/>
      <c r="C127" s="134"/>
      <c r="D127" s="134"/>
      <c r="E127" s="99"/>
      <c r="F127" s="99"/>
      <c r="G127" s="99"/>
      <c r="H127" s="99"/>
      <c r="I127" s="99"/>
    </row>
    <row r="128" spans="1:9" x14ac:dyDescent="0.25">
      <c r="A128" s="134"/>
      <c r="B128" s="134"/>
      <c r="C128" s="134"/>
      <c r="D128" s="134"/>
      <c r="E128" s="99"/>
      <c r="F128" s="99"/>
      <c r="G128" s="99"/>
      <c r="H128" s="99"/>
      <c r="I128" s="99"/>
    </row>
    <row r="129" spans="1:9" x14ac:dyDescent="0.25">
      <c r="A129" s="134"/>
      <c r="B129" s="134"/>
      <c r="C129" s="134"/>
      <c r="D129" s="134"/>
      <c r="E129" s="99"/>
      <c r="F129" s="99"/>
      <c r="G129" s="99"/>
      <c r="H129" s="99"/>
      <c r="I129" s="99"/>
    </row>
    <row r="130" spans="1:9" x14ac:dyDescent="0.25">
      <c r="A130" s="134"/>
      <c r="B130" s="134"/>
      <c r="C130" s="134"/>
      <c r="D130" s="134"/>
      <c r="E130" s="99"/>
      <c r="F130" s="99"/>
      <c r="G130" s="99"/>
      <c r="H130" s="99"/>
      <c r="I130" s="99"/>
    </row>
    <row r="131" spans="1:9" x14ac:dyDescent="0.25">
      <c r="A131" s="134"/>
      <c r="B131" s="134"/>
      <c r="C131" s="134"/>
      <c r="D131" s="134"/>
      <c r="E131" s="99"/>
      <c r="F131" s="99"/>
      <c r="G131" s="99"/>
      <c r="H131" s="99"/>
      <c r="I131" s="99"/>
    </row>
    <row r="132" spans="1:9" x14ac:dyDescent="0.25">
      <c r="A132" s="134"/>
      <c r="B132" s="134"/>
      <c r="C132" s="134"/>
      <c r="D132" s="134"/>
      <c r="E132" s="99"/>
      <c r="F132" s="99"/>
      <c r="G132" s="99"/>
      <c r="H132" s="99"/>
      <c r="I132" s="99"/>
    </row>
    <row r="133" spans="1:9" x14ac:dyDescent="0.25">
      <c r="A133" s="134"/>
      <c r="B133" s="134"/>
      <c r="C133" s="134"/>
      <c r="D133" s="134"/>
      <c r="E133" s="99"/>
      <c r="F133" s="99"/>
      <c r="G133" s="99"/>
      <c r="H133" s="99"/>
      <c r="I133" s="99"/>
    </row>
    <row r="134" spans="1:9" x14ac:dyDescent="0.25">
      <c r="A134" s="134"/>
      <c r="B134" s="134"/>
      <c r="C134" s="134"/>
      <c r="D134" s="134"/>
      <c r="E134" s="99"/>
      <c r="F134" s="99"/>
      <c r="G134" s="99"/>
      <c r="H134" s="99"/>
      <c r="I134" s="99"/>
    </row>
    <row r="135" spans="1:9" x14ac:dyDescent="0.25">
      <c r="A135" s="134"/>
      <c r="B135" s="134"/>
      <c r="C135" s="134"/>
      <c r="D135" s="134"/>
      <c r="E135" s="99"/>
      <c r="F135" s="99"/>
      <c r="G135" s="99"/>
      <c r="H135" s="99"/>
      <c r="I135" s="99"/>
    </row>
    <row r="136" spans="1:9" x14ac:dyDescent="0.25">
      <c r="A136" s="134"/>
      <c r="B136" s="134"/>
      <c r="C136" s="134"/>
      <c r="D136" s="134"/>
      <c r="E136" s="99"/>
      <c r="F136" s="99"/>
      <c r="G136" s="99"/>
      <c r="H136" s="99"/>
      <c r="I136" s="99"/>
    </row>
    <row r="137" spans="1:9" x14ac:dyDescent="0.25">
      <c r="A137" s="134"/>
      <c r="B137" s="134"/>
      <c r="C137" s="134"/>
      <c r="D137" s="134"/>
      <c r="E137" s="99"/>
      <c r="F137" s="99"/>
      <c r="G137" s="99"/>
      <c r="H137" s="99"/>
      <c r="I137" s="99"/>
    </row>
    <row r="138" spans="1:9" x14ac:dyDescent="0.25">
      <c r="A138" s="134"/>
      <c r="B138" s="134"/>
      <c r="C138" s="134"/>
      <c r="D138" s="134"/>
      <c r="E138" s="99"/>
      <c r="F138" s="99"/>
      <c r="G138" s="99"/>
      <c r="H138" s="99"/>
      <c r="I138" s="99"/>
    </row>
    <row r="139" spans="1:9" x14ac:dyDescent="0.25">
      <c r="A139" s="134"/>
      <c r="B139" s="134"/>
      <c r="C139" s="134"/>
      <c r="D139" s="134"/>
      <c r="E139" s="99"/>
      <c r="F139" s="99"/>
      <c r="G139" s="99"/>
      <c r="H139" s="99"/>
      <c r="I139" s="99"/>
    </row>
    <row r="140" spans="1:9" x14ac:dyDescent="0.25">
      <c r="A140" s="134"/>
      <c r="B140" s="134"/>
      <c r="C140" s="134"/>
      <c r="D140" s="134"/>
      <c r="E140" s="99"/>
      <c r="F140" s="99"/>
      <c r="G140" s="99"/>
      <c r="H140" s="99"/>
      <c r="I140" s="99"/>
    </row>
    <row r="141" spans="1:9" x14ac:dyDescent="0.25">
      <c r="A141" s="134"/>
      <c r="B141" s="134"/>
      <c r="C141" s="134"/>
      <c r="D141" s="134"/>
      <c r="E141" s="99"/>
      <c r="F141" s="99"/>
      <c r="G141" s="99"/>
      <c r="H141" s="99"/>
      <c r="I141" s="99"/>
    </row>
    <row r="142" spans="1:9" x14ac:dyDescent="0.25">
      <c r="A142" s="134"/>
      <c r="B142" s="134"/>
      <c r="C142" s="134"/>
      <c r="D142" s="134"/>
      <c r="E142" s="99"/>
      <c r="F142" s="99"/>
      <c r="G142" s="99"/>
      <c r="H142" s="99"/>
      <c r="I142" s="99"/>
    </row>
    <row r="143" spans="1:9" x14ac:dyDescent="0.25">
      <c r="A143" s="134"/>
      <c r="B143" s="134"/>
      <c r="C143" s="134"/>
      <c r="D143" s="134"/>
      <c r="E143" s="99"/>
      <c r="F143" s="99"/>
      <c r="G143" s="99"/>
      <c r="H143" s="99"/>
      <c r="I143" s="99"/>
    </row>
    <row r="144" spans="1:9" x14ac:dyDescent="0.25">
      <c r="A144" s="134"/>
      <c r="B144" s="134"/>
      <c r="C144" s="134"/>
      <c r="D144" s="134"/>
      <c r="E144" s="99"/>
      <c r="F144" s="99"/>
      <c r="G144" s="99"/>
      <c r="H144" s="99"/>
      <c r="I144" s="99"/>
    </row>
    <row r="145" spans="1:9" x14ac:dyDescent="0.25">
      <c r="A145" s="134"/>
      <c r="B145" s="134"/>
      <c r="C145" s="134"/>
      <c r="D145" s="134"/>
      <c r="E145" s="99"/>
      <c r="F145" s="99"/>
      <c r="G145" s="99"/>
      <c r="H145" s="99"/>
      <c r="I145" s="99"/>
    </row>
    <row r="146" spans="1:9" x14ac:dyDescent="0.25">
      <c r="A146" s="134"/>
      <c r="B146" s="134"/>
      <c r="C146" s="134"/>
      <c r="D146" s="134"/>
      <c r="E146" s="99"/>
      <c r="F146" s="99"/>
      <c r="G146" s="99"/>
      <c r="H146" s="99"/>
      <c r="I146" s="99"/>
    </row>
    <row r="147" spans="1:9" x14ac:dyDescent="0.25">
      <c r="A147" s="134"/>
      <c r="B147" s="134"/>
      <c r="C147" s="134"/>
      <c r="D147" s="134"/>
      <c r="E147" s="99"/>
      <c r="F147" s="99"/>
      <c r="G147" s="99"/>
      <c r="H147" s="99"/>
      <c r="I147" s="99"/>
    </row>
    <row r="148" spans="1:9" x14ac:dyDescent="0.25">
      <c r="A148" s="134"/>
      <c r="B148" s="134"/>
      <c r="C148" s="134"/>
      <c r="D148" s="134"/>
      <c r="E148" s="99"/>
      <c r="F148" s="99"/>
      <c r="G148" s="99"/>
      <c r="H148" s="99"/>
      <c r="I148" s="99"/>
    </row>
    <row r="149" spans="1:9" x14ac:dyDescent="0.25">
      <c r="A149" s="134"/>
      <c r="B149" s="134"/>
      <c r="C149" s="134"/>
      <c r="D149" s="134"/>
      <c r="E149" s="99"/>
      <c r="F149" s="99"/>
      <c r="G149" s="99"/>
      <c r="H149" s="99"/>
      <c r="I149" s="99"/>
    </row>
    <row r="150" spans="1:9" x14ac:dyDescent="0.25">
      <c r="A150" s="134"/>
      <c r="B150" s="134"/>
      <c r="C150" s="134"/>
      <c r="D150" s="134"/>
      <c r="E150" s="99"/>
      <c r="F150" s="99"/>
      <c r="G150" s="99"/>
      <c r="H150" s="99"/>
      <c r="I150" s="99"/>
    </row>
    <row r="151" spans="1:9" x14ac:dyDescent="0.25">
      <c r="A151" s="134"/>
      <c r="B151" s="134"/>
      <c r="C151" s="134"/>
      <c r="D151" s="134"/>
      <c r="E151" s="99"/>
      <c r="F151" s="99"/>
      <c r="G151" s="99"/>
      <c r="H151" s="99"/>
      <c r="I151" s="99"/>
    </row>
    <row r="152" spans="1:9" x14ac:dyDescent="0.25">
      <c r="A152" s="134"/>
      <c r="B152" s="134"/>
      <c r="C152" s="134"/>
      <c r="D152" s="134"/>
      <c r="E152" s="99"/>
      <c r="F152" s="99"/>
      <c r="G152" s="99"/>
      <c r="H152" s="99"/>
      <c r="I152" s="99"/>
    </row>
    <row r="153" spans="1:9" x14ac:dyDescent="0.25">
      <c r="A153" s="134"/>
      <c r="B153" s="134"/>
      <c r="C153" s="134"/>
      <c r="D153" s="134"/>
      <c r="E153" s="99"/>
      <c r="F153" s="99"/>
      <c r="G153" s="99"/>
      <c r="H153" s="99"/>
      <c r="I153" s="99"/>
    </row>
    <row r="154" spans="1:9" x14ac:dyDescent="0.25">
      <c r="A154" s="134"/>
      <c r="B154" s="134"/>
      <c r="C154" s="134"/>
      <c r="D154" s="134"/>
      <c r="E154" s="99"/>
      <c r="F154" s="99"/>
      <c r="G154" s="99"/>
      <c r="H154" s="99"/>
      <c r="I154" s="99"/>
    </row>
    <row r="155" spans="1:9" x14ac:dyDescent="0.25">
      <c r="A155" s="134"/>
      <c r="B155" s="134"/>
      <c r="C155" s="134"/>
      <c r="D155" s="134"/>
      <c r="E155" s="99"/>
      <c r="F155" s="99"/>
      <c r="G155" s="99"/>
      <c r="H155" s="99"/>
      <c r="I155" s="99"/>
    </row>
    <row r="156" spans="1:9" x14ac:dyDescent="0.25">
      <c r="A156" s="134"/>
      <c r="B156" s="134"/>
      <c r="C156" s="134"/>
      <c r="D156" s="134"/>
      <c r="E156" s="99"/>
      <c r="F156" s="99"/>
      <c r="G156" s="99"/>
      <c r="H156" s="99"/>
      <c r="I156" s="99"/>
    </row>
    <row r="157" spans="1:9" x14ac:dyDescent="0.25">
      <c r="A157" s="134"/>
      <c r="B157" s="134"/>
      <c r="C157" s="134"/>
      <c r="D157" s="134"/>
      <c r="E157" s="99"/>
      <c r="F157" s="99"/>
      <c r="G157" s="99"/>
      <c r="H157" s="99"/>
      <c r="I157" s="99"/>
    </row>
    <row r="158" spans="1:9" x14ac:dyDescent="0.25">
      <c r="A158" s="134"/>
      <c r="B158" s="134"/>
      <c r="C158" s="134"/>
      <c r="D158" s="134"/>
      <c r="E158" s="99"/>
      <c r="F158" s="99"/>
      <c r="G158" s="99"/>
      <c r="H158" s="99"/>
      <c r="I158" s="99"/>
    </row>
    <row r="159" spans="1:9" x14ac:dyDescent="0.25">
      <c r="A159" s="134"/>
      <c r="B159" s="134"/>
      <c r="C159" s="134"/>
      <c r="D159" s="134"/>
      <c r="E159" s="99"/>
      <c r="F159" s="99"/>
      <c r="G159" s="99"/>
      <c r="H159" s="99"/>
      <c r="I159" s="99"/>
    </row>
    <row r="160" spans="1:9" x14ac:dyDescent="0.25">
      <c r="A160" s="134"/>
      <c r="B160" s="134"/>
      <c r="C160" s="134"/>
      <c r="D160" s="134"/>
      <c r="E160" s="99"/>
      <c r="F160" s="99"/>
      <c r="G160" s="99"/>
      <c r="H160" s="99"/>
      <c r="I160" s="99"/>
    </row>
    <row r="161" spans="1:9" x14ac:dyDescent="0.25">
      <c r="A161" s="134"/>
      <c r="B161" s="134"/>
      <c r="C161" s="134"/>
      <c r="D161" s="134"/>
      <c r="E161" s="99"/>
      <c r="F161" s="99"/>
      <c r="G161" s="99"/>
      <c r="H161" s="99"/>
      <c r="I161" s="99"/>
    </row>
    <row r="162" spans="1:9" x14ac:dyDescent="0.25">
      <c r="A162" s="134"/>
      <c r="B162" s="134"/>
      <c r="C162" s="134"/>
      <c r="D162" s="134"/>
      <c r="E162" s="99"/>
      <c r="F162" s="99"/>
      <c r="G162" s="99"/>
      <c r="H162" s="99"/>
      <c r="I162" s="99"/>
    </row>
    <row r="163" spans="1:9" x14ac:dyDescent="0.25">
      <c r="A163" s="134"/>
      <c r="B163" s="134"/>
      <c r="C163" s="134"/>
      <c r="D163" s="134"/>
      <c r="E163" s="99"/>
      <c r="F163" s="99"/>
      <c r="G163" s="99"/>
      <c r="H163" s="99"/>
      <c r="I163" s="99"/>
    </row>
    <row r="164" spans="1:9" x14ac:dyDescent="0.25">
      <c r="A164" s="134"/>
      <c r="B164" s="134"/>
      <c r="C164" s="134"/>
      <c r="D164" s="134"/>
      <c r="E164" s="99"/>
      <c r="F164" s="99"/>
      <c r="G164" s="99"/>
      <c r="H164" s="99"/>
      <c r="I164" s="99"/>
    </row>
    <row r="165" spans="1:9" x14ac:dyDescent="0.25">
      <c r="A165" s="134"/>
      <c r="B165" s="134"/>
      <c r="C165" s="134"/>
      <c r="D165" s="134"/>
      <c r="E165" s="99"/>
      <c r="F165" s="99"/>
      <c r="G165" s="99"/>
      <c r="H165" s="99"/>
      <c r="I165" s="99"/>
    </row>
    <row r="166" spans="1:9" x14ac:dyDescent="0.25">
      <c r="A166" s="134"/>
      <c r="B166" s="134"/>
      <c r="C166" s="134"/>
      <c r="D166" s="134"/>
      <c r="E166" s="99"/>
      <c r="F166" s="99"/>
      <c r="G166" s="99"/>
      <c r="H166" s="99"/>
      <c r="I166" s="99"/>
    </row>
    <row r="167" spans="1:9" x14ac:dyDescent="0.25">
      <c r="A167" s="134"/>
      <c r="B167" s="134"/>
      <c r="C167" s="134"/>
      <c r="D167" s="134"/>
      <c r="E167" s="99"/>
      <c r="F167" s="99"/>
      <c r="G167" s="99"/>
      <c r="H167" s="99"/>
      <c r="I167" s="99"/>
    </row>
    <row r="168" spans="1:9" x14ac:dyDescent="0.25">
      <c r="A168" s="134"/>
      <c r="B168" s="134"/>
      <c r="C168" s="134"/>
      <c r="D168" s="134"/>
      <c r="E168" s="99"/>
      <c r="F168" s="99"/>
      <c r="G168" s="99"/>
      <c r="H168" s="99"/>
      <c r="I168" s="99"/>
    </row>
    <row r="169" spans="1:9" x14ac:dyDescent="0.25">
      <c r="A169" s="134"/>
      <c r="B169" s="134"/>
      <c r="C169" s="134"/>
      <c r="D169" s="134"/>
      <c r="E169" s="99"/>
      <c r="F169" s="99"/>
      <c r="G169" s="99"/>
      <c r="H169" s="99"/>
      <c r="I169" s="99"/>
    </row>
    <row r="170" spans="1:9" x14ac:dyDescent="0.25">
      <c r="A170" s="134"/>
      <c r="B170" s="134"/>
      <c r="C170" s="134"/>
      <c r="D170" s="134"/>
      <c r="E170" s="99"/>
      <c r="F170" s="99"/>
      <c r="G170" s="99"/>
      <c r="H170" s="99"/>
      <c r="I170" s="99"/>
    </row>
    <row r="171" spans="1:9" x14ac:dyDescent="0.25">
      <c r="A171" s="134"/>
      <c r="B171" s="134"/>
      <c r="C171" s="134"/>
      <c r="D171" s="134"/>
      <c r="E171" s="99"/>
      <c r="F171" s="99"/>
      <c r="G171" s="99"/>
      <c r="H171" s="99"/>
      <c r="I171" s="99"/>
    </row>
    <row r="172" spans="1:9" x14ac:dyDescent="0.25">
      <c r="A172" s="134"/>
      <c r="B172" s="134"/>
      <c r="C172" s="134"/>
      <c r="D172" s="134"/>
      <c r="E172" s="99"/>
      <c r="F172" s="99"/>
      <c r="G172" s="99"/>
      <c r="H172" s="99"/>
      <c r="I172" s="99"/>
    </row>
    <row r="173" spans="1:9" x14ac:dyDescent="0.25">
      <c r="A173" s="134"/>
      <c r="B173" s="134"/>
      <c r="C173" s="134"/>
      <c r="D173" s="134"/>
      <c r="E173" s="99"/>
      <c r="F173" s="99"/>
      <c r="G173" s="99"/>
      <c r="H173" s="99"/>
      <c r="I173" s="99"/>
    </row>
    <row r="174" spans="1:9" x14ac:dyDescent="0.25">
      <c r="A174" s="134"/>
      <c r="B174" s="134"/>
      <c r="C174" s="134"/>
      <c r="D174" s="134"/>
      <c r="E174" s="99"/>
      <c r="F174" s="99"/>
      <c r="G174" s="99"/>
      <c r="H174" s="99"/>
      <c r="I174" s="99"/>
    </row>
    <row r="175" spans="1:9" x14ac:dyDescent="0.25">
      <c r="A175" s="134"/>
      <c r="B175" s="134"/>
      <c r="C175" s="134"/>
      <c r="D175" s="134"/>
      <c r="E175" s="99"/>
      <c r="F175" s="99"/>
      <c r="G175" s="99"/>
      <c r="H175" s="99"/>
      <c r="I175" s="99"/>
    </row>
    <row r="176" spans="1:9" x14ac:dyDescent="0.25">
      <c r="A176" s="134"/>
      <c r="B176" s="134"/>
      <c r="C176" s="134"/>
      <c r="D176" s="134"/>
      <c r="E176" s="99"/>
      <c r="F176" s="99"/>
      <c r="G176" s="99"/>
      <c r="H176" s="99"/>
      <c r="I176" s="99"/>
    </row>
    <row r="177" spans="1:9" x14ac:dyDescent="0.25">
      <c r="A177" s="134"/>
      <c r="B177" s="134"/>
      <c r="C177" s="134"/>
      <c r="D177" s="134"/>
      <c r="E177" s="99"/>
      <c r="F177" s="99"/>
      <c r="G177" s="99"/>
      <c r="H177" s="99"/>
      <c r="I177" s="99"/>
    </row>
    <row r="178" spans="1:9" x14ac:dyDescent="0.25">
      <c r="A178" s="134"/>
      <c r="B178" s="134"/>
      <c r="C178" s="134"/>
      <c r="D178" s="134"/>
      <c r="E178" s="99"/>
      <c r="F178" s="99"/>
      <c r="G178" s="99"/>
      <c r="H178" s="99"/>
      <c r="I178" s="99"/>
    </row>
    <row r="179" spans="1:9" x14ac:dyDescent="0.25">
      <c r="A179" s="134"/>
      <c r="B179" s="134"/>
      <c r="C179" s="134"/>
      <c r="D179" s="134"/>
      <c r="E179" s="99"/>
      <c r="F179" s="99"/>
      <c r="G179" s="99"/>
      <c r="H179" s="99"/>
      <c r="I179" s="99"/>
    </row>
    <row r="180" spans="1:9" x14ac:dyDescent="0.25">
      <c r="A180" s="134"/>
      <c r="B180" s="134"/>
      <c r="C180" s="134"/>
      <c r="D180" s="134"/>
      <c r="E180" s="99"/>
      <c r="F180" s="99"/>
      <c r="G180" s="99"/>
      <c r="H180" s="99"/>
      <c r="I180" s="99"/>
    </row>
    <row r="181" spans="1:9" x14ac:dyDescent="0.25">
      <c r="A181" s="134"/>
      <c r="B181" s="134"/>
      <c r="C181" s="134"/>
      <c r="D181" s="134"/>
      <c r="E181" s="99"/>
      <c r="F181" s="99"/>
      <c r="G181" s="99"/>
      <c r="H181" s="99"/>
      <c r="I181" s="99"/>
    </row>
    <row r="182" spans="1:9" x14ac:dyDescent="0.25">
      <c r="A182" s="134"/>
      <c r="B182" s="134"/>
      <c r="C182" s="134"/>
      <c r="D182" s="134"/>
      <c r="E182" s="99"/>
      <c r="F182" s="99"/>
      <c r="G182" s="99"/>
      <c r="H182" s="99"/>
      <c r="I182" s="99"/>
    </row>
    <row r="183" spans="1:9" x14ac:dyDescent="0.25">
      <c r="A183" s="134"/>
      <c r="B183" s="134"/>
      <c r="C183" s="134"/>
      <c r="D183" s="134"/>
      <c r="E183" s="99"/>
      <c r="F183" s="99"/>
      <c r="G183" s="99"/>
      <c r="H183" s="99"/>
      <c r="I183" s="99"/>
    </row>
    <row r="184" spans="1:9" x14ac:dyDescent="0.25">
      <c r="A184" s="134"/>
      <c r="B184" s="134"/>
      <c r="C184" s="134"/>
      <c r="D184" s="134"/>
      <c r="E184" s="99"/>
      <c r="F184" s="99"/>
      <c r="G184" s="99"/>
      <c r="H184" s="99"/>
      <c r="I184" s="99"/>
    </row>
    <row r="185" spans="1:9" x14ac:dyDescent="0.25">
      <c r="A185" s="134"/>
      <c r="B185" s="134"/>
      <c r="C185" s="134"/>
      <c r="D185" s="134"/>
      <c r="E185" s="99"/>
      <c r="F185" s="99"/>
      <c r="G185" s="99"/>
      <c r="H185" s="99"/>
      <c r="I185" s="99"/>
    </row>
    <row r="186" spans="1:9" x14ac:dyDescent="0.25">
      <c r="A186" s="134"/>
      <c r="B186" s="134"/>
      <c r="C186" s="134"/>
      <c r="D186" s="134"/>
      <c r="E186" s="99"/>
      <c r="F186" s="99"/>
      <c r="G186" s="99"/>
      <c r="H186" s="99"/>
      <c r="I186" s="99"/>
    </row>
    <row r="187" spans="1:9" x14ac:dyDescent="0.25">
      <c r="A187" s="134"/>
      <c r="B187" s="134"/>
      <c r="C187" s="134"/>
      <c r="D187" s="134"/>
      <c r="E187" s="99"/>
      <c r="F187" s="99"/>
      <c r="G187" s="99"/>
      <c r="H187" s="99"/>
      <c r="I187" s="99"/>
    </row>
    <row r="188" spans="1:9" x14ac:dyDescent="0.25">
      <c r="A188" s="134"/>
      <c r="B188" s="134"/>
      <c r="C188" s="134"/>
      <c r="D188" s="134"/>
      <c r="E188" s="99"/>
      <c r="F188" s="99"/>
      <c r="G188" s="99"/>
      <c r="H188" s="99"/>
      <c r="I188" s="99"/>
    </row>
    <row r="189" spans="1:9" x14ac:dyDescent="0.25">
      <c r="A189" s="134"/>
      <c r="B189" s="134"/>
      <c r="C189" s="134"/>
      <c r="D189" s="134"/>
      <c r="E189" s="99"/>
      <c r="F189" s="99"/>
      <c r="G189" s="99"/>
      <c r="H189" s="99"/>
      <c r="I189" s="99"/>
    </row>
    <row r="190" spans="1:9" x14ac:dyDescent="0.25">
      <c r="A190" s="134"/>
      <c r="B190" s="134"/>
      <c r="C190" s="134"/>
      <c r="D190" s="134"/>
      <c r="E190" s="99"/>
      <c r="F190" s="99"/>
      <c r="G190" s="99"/>
      <c r="H190" s="99"/>
      <c r="I190" s="99"/>
    </row>
    <row r="191" spans="1:9" x14ac:dyDescent="0.25">
      <c r="A191" s="134"/>
      <c r="B191" s="134"/>
      <c r="C191" s="134"/>
      <c r="D191" s="134"/>
      <c r="E191" s="99"/>
      <c r="F191" s="99"/>
      <c r="G191" s="99"/>
      <c r="H191" s="99"/>
      <c r="I191" s="99"/>
    </row>
    <row r="192" spans="1:9" x14ac:dyDescent="0.25">
      <c r="A192" s="134"/>
      <c r="B192" s="134"/>
      <c r="C192" s="134"/>
      <c r="D192" s="134"/>
      <c r="E192" s="99"/>
      <c r="F192" s="99"/>
      <c r="G192" s="99"/>
      <c r="H192" s="99"/>
      <c r="I192" s="99"/>
    </row>
    <row r="193" spans="1:9" x14ac:dyDescent="0.25">
      <c r="A193" s="134"/>
      <c r="B193" s="134"/>
      <c r="C193" s="134"/>
      <c r="D193" s="134"/>
      <c r="E193" s="99"/>
      <c r="F193" s="99"/>
      <c r="G193" s="99"/>
      <c r="H193" s="99"/>
      <c r="I193" s="99"/>
    </row>
    <row r="194" spans="1:9" x14ac:dyDescent="0.25">
      <c r="A194" s="134"/>
      <c r="B194" s="134"/>
      <c r="C194" s="134"/>
      <c r="D194" s="134"/>
      <c r="E194" s="99"/>
      <c r="F194" s="99"/>
      <c r="G194" s="99"/>
      <c r="H194" s="99"/>
      <c r="I194" s="99"/>
    </row>
    <row r="195" spans="1:9" x14ac:dyDescent="0.25">
      <c r="A195" s="134"/>
      <c r="B195" s="134"/>
      <c r="C195" s="134"/>
      <c r="D195" s="134"/>
      <c r="E195" s="99"/>
      <c r="F195" s="99"/>
      <c r="G195" s="99"/>
      <c r="H195" s="99"/>
      <c r="I195" s="99"/>
    </row>
    <row r="196" spans="1:9" x14ac:dyDescent="0.25">
      <c r="A196" s="134"/>
      <c r="B196" s="134"/>
      <c r="C196" s="134"/>
      <c r="D196" s="134"/>
      <c r="E196" s="99"/>
      <c r="F196" s="99"/>
      <c r="G196" s="99"/>
      <c r="H196" s="99"/>
      <c r="I196" s="99"/>
    </row>
    <row r="197" spans="1:9" x14ac:dyDescent="0.25">
      <c r="A197" s="134"/>
      <c r="B197" s="134"/>
      <c r="C197" s="134"/>
      <c r="D197" s="134"/>
      <c r="E197" s="99"/>
      <c r="F197" s="99"/>
      <c r="G197" s="99"/>
      <c r="H197" s="99"/>
      <c r="I197" s="99"/>
    </row>
    <row r="198" spans="1:9" x14ac:dyDescent="0.25">
      <c r="A198" s="134"/>
      <c r="B198" s="134"/>
      <c r="C198" s="134"/>
      <c r="D198" s="134"/>
      <c r="E198" s="99"/>
      <c r="F198" s="99"/>
      <c r="G198" s="99"/>
      <c r="H198" s="99"/>
      <c r="I198" s="99"/>
    </row>
    <row r="199" spans="1:9" x14ac:dyDescent="0.25">
      <c r="A199" s="134"/>
      <c r="B199" s="134"/>
      <c r="C199" s="134"/>
      <c r="D199" s="134"/>
      <c r="E199" s="99"/>
      <c r="F199" s="99"/>
      <c r="G199" s="99"/>
      <c r="H199" s="99"/>
      <c r="I199" s="99"/>
    </row>
    <row r="200" spans="1:9" x14ac:dyDescent="0.25">
      <c r="A200" s="134"/>
      <c r="B200" s="134"/>
      <c r="C200" s="134"/>
      <c r="D200" s="134"/>
      <c r="E200" s="99"/>
      <c r="F200" s="99"/>
      <c r="G200" s="99"/>
      <c r="H200" s="99"/>
      <c r="I200" s="99"/>
    </row>
    <row r="201" spans="1:9" x14ac:dyDescent="0.25">
      <c r="A201" s="134"/>
      <c r="B201" s="134"/>
      <c r="C201" s="134"/>
      <c r="D201" s="134"/>
      <c r="E201" s="99"/>
      <c r="F201" s="99"/>
      <c r="G201" s="99"/>
      <c r="H201" s="99"/>
      <c r="I201" s="99"/>
    </row>
    <row r="202" spans="1:9" x14ac:dyDescent="0.25">
      <c r="A202" s="134"/>
      <c r="B202" s="134"/>
      <c r="C202" s="134"/>
      <c r="D202" s="134"/>
      <c r="E202" s="99"/>
      <c r="F202" s="99"/>
      <c r="G202" s="99"/>
      <c r="H202" s="99"/>
      <c r="I202" s="99"/>
    </row>
    <row r="203" spans="1:9" x14ac:dyDescent="0.25">
      <c r="A203" s="134"/>
      <c r="B203" s="134"/>
      <c r="C203" s="134"/>
      <c r="D203" s="134"/>
      <c r="E203" s="99"/>
      <c r="F203" s="99"/>
      <c r="G203" s="99"/>
      <c r="H203" s="99"/>
      <c r="I203" s="99"/>
    </row>
    <row r="204" spans="1:9" x14ac:dyDescent="0.25">
      <c r="A204" s="134"/>
      <c r="B204" s="134"/>
      <c r="C204" s="134"/>
      <c r="D204" s="134"/>
      <c r="E204" s="99"/>
      <c r="F204" s="99"/>
      <c r="G204" s="99"/>
      <c r="H204" s="99"/>
      <c r="I204" s="99"/>
    </row>
    <row r="205" spans="1:9" x14ac:dyDescent="0.25">
      <c r="A205" s="134"/>
      <c r="B205" s="134"/>
      <c r="C205" s="134"/>
      <c r="D205" s="134"/>
      <c r="E205" s="99"/>
      <c r="F205" s="99"/>
      <c r="G205" s="99"/>
      <c r="H205" s="99"/>
      <c r="I205" s="99"/>
    </row>
    <row r="206" spans="1:9" x14ac:dyDescent="0.25">
      <c r="A206" s="134"/>
      <c r="B206" s="134"/>
      <c r="C206" s="134"/>
      <c r="D206" s="134"/>
      <c r="E206" s="99"/>
      <c r="F206" s="99"/>
      <c r="G206" s="99"/>
      <c r="H206" s="99"/>
      <c r="I206" s="99"/>
    </row>
    <row r="207" spans="1:9" x14ac:dyDescent="0.25">
      <c r="A207" s="134"/>
      <c r="B207" s="134"/>
      <c r="C207" s="134"/>
      <c r="D207" s="134"/>
      <c r="E207" s="99"/>
      <c r="F207" s="99"/>
      <c r="G207" s="99"/>
      <c r="H207" s="99"/>
      <c r="I207" s="99"/>
    </row>
    <row r="208" spans="1:9" x14ac:dyDescent="0.25">
      <c r="A208" s="134"/>
      <c r="B208" s="134"/>
      <c r="C208" s="134"/>
      <c r="D208" s="134"/>
      <c r="E208" s="99"/>
      <c r="F208" s="99"/>
      <c r="G208" s="99"/>
      <c r="H208" s="99"/>
      <c r="I208" s="99"/>
    </row>
    <row r="209" spans="1:9" x14ac:dyDescent="0.25">
      <c r="A209" s="134"/>
      <c r="B209" s="134"/>
      <c r="C209" s="134"/>
      <c r="D209" s="134"/>
      <c r="E209" s="99"/>
      <c r="F209" s="99"/>
      <c r="G209" s="99"/>
      <c r="H209" s="99"/>
      <c r="I209" s="99"/>
    </row>
    <row r="210" spans="1:9" x14ac:dyDescent="0.25">
      <c r="A210" s="134"/>
      <c r="B210" s="134"/>
      <c r="C210" s="134"/>
      <c r="D210" s="134"/>
      <c r="E210" s="99"/>
      <c r="F210" s="99"/>
      <c r="G210" s="99"/>
      <c r="H210" s="99"/>
      <c r="I210" s="99"/>
    </row>
    <row r="211" spans="1:9" x14ac:dyDescent="0.25">
      <c r="A211" s="134"/>
      <c r="B211" s="134"/>
      <c r="C211" s="134"/>
      <c r="D211" s="134"/>
      <c r="E211" s="99"/>
      <c r="F211" s="99"/>
      <c r="G211" s="99"/>
      <c r="H211" s="99"/>
      <c r="I211" s="99"/>
    </row>
    <row r="212" spans="1:9" x14ac:dyDescent="0.25">
      <c r="A212" s="134"/>
      <c r="B212" s="134"/>
      <c r="C212" s="134"/>
      <c r="D212" s="134"/>
      <c r="E212" s="99"/>
      <c r="F212" s="99"/>
      <c r="G212" s="99"/>
      <c r="H212" s="99"/>
      <c r="I212" s="99"/>
    </row>
    <row r="213" spans="1:9" x14ac:dyDescent="0.25">
      <c r="A213" s="134"/>
      <c r="B213" s="134"/>
      <c r="C213" s="134"/>
      <c r="D213" s="134"/>
      <c r="E213" s="99"/>
      <c r="F213" s="99"/>
      <c r="G213" s="99"/>
      <c r="H213" s="99"/>
      <c r="I213" s="99"/>
    </row>
    <row r="214" spans="1:9" x14ac:dyDescent="0.25">
      <c r="A214" s="134"/>
      <c r="B214" s="134"/>
      <c r="C214" s="134"/>
      <c r="D214" s="134"/>
      <c r="E214" s="99"/>
      <c r="F214" s="99"/>
      <c r="G214" s="99"/>
      <c r="H214" s="99"/>
      <c r="I214" s="99"/>
    </row>
    <row r="215" spans="1:9" x14ac:dyDescent="0.25">
      <c r="A215" s="134"/>
      <c r="B215" s="134"/>
      <c r="C215" s="134"/>
      <c r="D215" s="134"/>
      <c r="E215" s="99"/>
      <c r="F215" s="99"/>
      <c r="G215" s="99"/>
      <c r="H215" s="99"/>
      <c r="I215" s="99"/>
    </row>
    <row r="216" spans="1:9" x14ac:dyDescent="0.25">
      <c r="A216" s="134"/>
      <c r="B216" s="134"/>
      <c r="C216" s="134"/>
      <c r="D216" s="134"/>
      <c r="E216" s="99"/>
      <c r="F216" s="99"/>
      <c r="G216" s="99"/>
      <c r="H216" s="99"/>
      <c r="I216" s="99"/>
    </row>
    <row r="217" spans="1:9" x14ac:dyDescent="0.25">
      <c r="A217" s="134"/>
      <c r="B217" s="134"/>
      <c r="C217" s="134"/>
      <c r="D217" s="134"/>
      <c r="E217" s="99"/>
      <c r="F217" s="99"/>
      <c r="G217" s="99"/>
      <c r="H217" s="99"/>
      <c r="I217" s="99"/>
    </row>
    <row r="218" spans="1:9" x14ac:dyDescent="0.25">
      <c r="A218" s="134"/>
      <c r="B218" s="134"/>
      <c r="C218" s="134"/>
      <c r="D218" s="134"/>
      <c r="E218" s="99"/>
      <c r="F218" s="99"/>
      <c r="G218" s="99"/>
      <c r="H218" s="99"/>
      <c r="I218" s="99"/>
    </row>
    <row r="219" spans="1:9" x14ac:dyDescent="0.25">
      <c r="A219" s="134"/>
      <c r="B219" s="134"/>
      <c r="C219" s="134"/>
      <c r="D219" s="134"/>
      <c r="E219" s="99"/>
      <c r="F219" s="99"/>
      <c r="G219" s="99"/>
      <c r="H219" s="99"/>
      <c r="I219" s="99"/>
    </row>
    <row r="220" spans="1:9" x14ac:dyDescent="0.25">
      <c r="A220" s="134"/>
      <c r="B220" s="134"/>
      <c r="C220" s="134"/>
      <c r="D220" s="134"/>
      <c r="E220" s="99"/>
      <c r="F220" s="99"/>
      <c r="G220" s="99"/>
      <c r="H220" s="99"/>
      <c r="I220" s="99"/>
    </row>
    <row r="221" spans="1:9" x14ac:dyDescent="0.25">
      <c r="A221" s="134"/>
      <c r="B221" s="134"/>
      <c r="C221" s="134"/>
      <c r="D221" s="134"/>
      <c r="E221" s="99"/>
      <c r="F221" s="99"/>
      <c r="G221" s="99"/>
      <c r="H221" s="99"/>
      <c r="I221" s="99"/>
    </row>
    <row r="222" spans="1:9" x14ac:dyDescent="0.25">
      <c r="A222" s="134"/>
      <c r="B222" s="134"/>
      <c r="C222" s="134"/>
      <c r="D222" s="134"/>
      <c r="E222" s="99"/>
      <c r="F222" s="99"/>
      <c r="G222" s="99"/>
      <c r="H222" s="99"/>
      <c r="I222" s="99"/>
    </row>
    <row r="223" spans="1:9" x14ac:dyDescent="0.25">
      <c r="A223" s="134"/>
      <c r="B223" s="134"/>
      <c r="C223" s="134"/>
      <c r="D223" s="134"/>
      <c r="E223" s="99"/>
      <c r="F223" s="99"/>
      <c r="G223" s="99"/>
      <c r="H223" s="99"/>
      <c r="I223" s="99"/>
    </row>
    <row r="224" spans="1:9" x14ac:dyDescent="0.25">
      <c r="A224" s="134"/>
      <c r="B224" s="134"/>
      <c r="C224" s="134"/>
      <c r="D224" s="134"/>
      <c r="E224" s="99"/>
      <c r="F224" s="99"/>
      <c r="G224" s="99"/>
      <c r="H224" s="99"/>
      <c r="I224" s="99"/>
    </row>
    <row r="225" spans="1:9" x14ac:dyDescent="0.25">
      <c r="A225" s="134"/>
      <c r="B225" s="134"/>
      <c r="C225" s="134"/>
      <c r="D225" s="134"/>
      <c r="E225" s="99"/>
      <c r="F225" s="99"/>
      <c r="G225" s="99"/>
      <c r="H225" s="99"/>
      <c r="I225" s="99"/>
    </row>
    <row r="226" spans="1:9" x14ac:dyDescent="0.25">
      <c r="A226" s="134"/>
      <c r="B226" s="134"/>
      <c r="C226" s="134"/>
      <c r="D226" s="134"/>
      <c r="E226" s="99"/>
      <c r="F226" s="99"/>
      <c r="G226" s="99"/>
      <c r="H226" s="99"/>
      <c r="I226" s="99"/>
    </row>
    <row r="227" spans="1:9" x14ac:dyDescent="0.25">
      <c r="A227" s="134"/>
      <c r="B227" s="134"/>
      <c r="C227" s="134"/>
      <c r="D227" s="134"/>
      <c r="E227" s="99"/>
      <c r="F227" s="99"/>
      <c r="G227" s="99"/>
      <c r="H227" s="99"/>
      <c r="I227" s="99"/>
    </row>
    <row r="228" spans="1:9" x14ac:dyDescent="0.25">
      <c r="A228" s="134"/>
      <c r="B228" s="134"/>
      <c r="C228" s="134"/>
      <c r="D228" s="134"/>
      <c r="E228" s="99"/>
      <c r="F228" s="99"/>
      <c r="G228" s="99"/>
      <c r="H228" s="99"/>
      <c r="I228" s="99"/>
    </row>
    <row r="229" spans="1:9" x14ac:dyDescent="0.25">
      <c r="A229" s="134"/>
      <c r="B229" s="134"/>
      <c r="C229" s="134"/>
      <c r="D229" s="134"/>
      <c r="E229" s="99"/>
      <c r="F229" s="99"/>
      <c r="G229" s="99"/>
      <c r="H229" s="99"/>
      <c r="I229" s="99"/>
    </row>
    <row r="230" spans="1:9" x14ac:dyDescent="0.25">
      <c r="A230" s="134"/>
      <c r="B230" s="134"/>
      <c r="C230" s="134"/>
      <c r="D230" s="134"/>
      <c r="E230" s="99"/>
      <c r="F230" s="99"/>
      <c r="G230" s="99"/>
      <c r="H230" s="99"/>
      <c r="I230" s="99"/>
    </row>
    <row r="231" spans="1:9" x14ac:dyDescent="0.25">
      <c r="A231" s="134"/>
      <c r="B231" s="134"/>
      <c r="C231" s="134"/>
      <c r="D231" s="134"/>
      <c r="E231" s="99"/>
      <c r="F231" s="99"/>
      <c r="G231" s="99"/>
      <c r="H231" s="99"/>
      <c r="I231" s="99"/>
    </row>
    <row r="232" spans="1:9" x14ac:dyDescent="0.25">
      <c r="A232" s="134"/>
      <c r="B232" s="134"/>
      <c r="C232" s="134"/>
      <c r="D232" s="134"/>
      <c r="E232" s="99"/>
      <c r="F232" s="99"/>
      <c r="G232" s="99"/>
      <c r="H232" s="99"/>
      <c r="I232" s="99"/>
    </row>
    <row r="233" spans="1:9" x14ac:dyDescent="0.25">
      <c r="A233" s="134"/>
      <c r="B233" s="134"/>
      <c r="C233" s="134"/>
      <c r="D233" s="134"/>
      <c r="E233" s="99"/>
      <c r="F233" s="99"/>
      <c r="G233" s="99"/>
      <c r="H233" s="99"/>
      <c r="I233" s="99"/>
    </row>
    <row r="234" spans="1:9" x14ac:dyDescent="0.25">
      <c r="A234" s="134"/>
      <c r="B234" s="134"/>
      <c r="C234" s="134"/>
      <c r="D234" s="134"/>
      <c r="E234" s="99"/>
      <c r="F234" s="99"/>
      <c r="G234" s="99"/>
      <c r="H234" s="99"/>
      <c r="I234" s="99"/>
    </row>
    <row r="235" spans="1:9" x14ac:dyDescent="0.25">
      <c r="A235" s="134"/>
      <c r="B235" s="134"/>
      <c r="C235" s="134"/>
      <c r="D235" s="134"/>
      <c r="E235" s="99"/>
      <c r="F235" s="99"/>
      <c r="G235" s="99"/>
      <c r="H235" s="99"/>
      <c r="I235" s="99"/>
    </row>
    <row r="236" spans="1:9" x14ac:dyDescent="0.25">
      <c r="A236" s="134"/>
      <c r="B236" s="134"/>
      <c r="C236" s="134"/>
      <c r="D236" s="134"/>
      <c r="E236" s="99"/>
      <c r="F236" s="99"/>
      <c r="G236" s="99"/>
      <c r="H236" s="99"/>
      <c r="I236" s="99"/>
    </row>
    <row r="237" spans="1:9" x14ac:dyDescent="0.25">
      <c r="A237" s="134"/>
      <c r="B237" s="134"/>
      <c r="C237" s="134"/>
      <c r="D237" s="134"/>
      <c r="E237" s="99"/>
      <c r="F237" s="99"/>
      <c r="G237" s="99"/>
      <c r="H237" s="99"/>
      <c r="I237" s="99"/>
    </row>
    <row r="238" spans="1:9" x14ac:dyDescent="0.25">
      <c r="A238" s="134"/>
      <c r="B238" s="134"/>
      <c r="C238" s="134"/>
      <c r="D238" s="134"/>
      <c r="E238" s="99"/>
      <c r="F238" s="99"/>
      <c r="G238" s="99"/>
      <c r="H238" s="99"/>
      <c r="I238" s="99"/>
    </row>
    <row r="239" spans="1:9" x14ac:dyDescent="0.25">
      <c r="A239" s="134"/>
      <c r="B239" s="134"/>
      <c r="C239" s="134"/>
      <c r="D239" s="134"/>
      <c r="E239" s="99"/>
      <c r="F239" s="99"/>
      <c r="G239" s="99"/>
      <c r="H239" s="99"/>
      <c r="I239" s="99"/>
    </row>
    <row r="240" spans="1:9" x14ac:dyDescent="0.25">
      <c r="A240" s="134"/>
      <c r="B240" s="134"/>
      <c r="C240" s="134"/>
      <c r="D240" s="134"/>
      <c r="E240" s="99"/>
      <c r="F240" s="99"/>
      <c r="G240" s="99"/>
      <c r="H240" s="99"/>
      <c r="I240" s="99"/>
    </row>
    <row r="241" spans="1:9" x14ac:dyDescent="0.25">
      <c r="A241" s="134"/>
      <c r="B241" s="134"/>
      <c r="C241" s="134"/>
      <c r="D241" s="134"/>
      <c r="E241" s="99"/>
      <c r="F241" s="99"/>
      <c r="G241" s="99"/>
      <c r="H241" s="99"/>
      <c r="I241" s="99"/>
    </row>
    <row r="242" spans="1:9" x14ac:dyDescent="0.25">
      <c r="A242" s="134"/>
      <c r="B242" s="134"/>
      <c r="C242" s="134"/>
      <c r="D242" s="134"/>
      <c r="E242" s="99"/>
      <c r="F242" s="99"/>
      <c r="G242" s="99"/>
      <c r="H242" s="99"/>
      <c r="I242" s="99"/>
    </row>
    <row r="243" spans="1:9" x14ac:dyDescent="0.25">
      <c r="A243" s="134"/>
      <c r="B243" s="134"/>
      <c r="C243" s="134"/>
      <c r="D243" s="134"/>
      <c r="E243" s="99"/>
      <c r="F243" s="99"/>
      <c r="G243" s="99"/>
      <c r="H243" s="99"/>
      <c r="I243" s="99"/>
    </row>
    <row r="244" spans="1:9" x14ac:dyDescent="0.25">
      <c r="A244" s="134"/>
      <c r="B244" s="134"/>
      <c r="C244" s="134"/>
      <c r="D244" s="134"/>
      <c r="E244" s="99"/>
      <c r="F244" s="99"/>
      <c r="G244" s="99"/>
      <c r="H244" s="99"/>
      <c r="I244" s="99"/>
    </row>
    <row r="245" spans="1:9" x14ac:dyDescent="0.25">
      <c r="A245" s="134"/>
      <c r="B245" s="134"/>
      <c r="C245" s="134"/>
      <c r="D245" s="134"/>
      <c r="E245" s="99"/>
      <c r="F245" s="99"/>
      <c r="G245" s="99"/>
      <c r="H245" s="99"/>
      <c r="I245" s="99"/>
    </row>
    <row r="246" spans="1:9" x14ac:dyDescent="0.25">
      <c r="A246" s="134"/>
      <c r="B246" s="134"/>
      <c r="C246" s="134"/>
      <c r="D246" s="134"/>
      <c r="E246" s="99"/>
      <c r="F246" s="99"/>
      <c r="G246" s="99"/>
      <c r="H246" s="99"/>
      <c r="I246" s="99"/>
    </row>
    <row r="247" spans="1:9" x14ac:dyDescent="0.25">
      <c r="A247" s="134"/>
      <c r="B247" s="134"/>
      <c r="C247" s="134"/>
      <c r="D247" s="134"/>
      <c r="E247" s="99"/>
      <c r="F247" s="99"/>
      <c r="G247" s="99"/>
      <c r="H247" s="99"/>
      <c r="I247" s="99"/>
    </row>
    <row r="248" spans="1:9" x14ac:dyDescent="0.25">
      <c r="A248" s="134"/>
      <c r="B248" s="134"/>
      <c r="C248" s="134"/>
      <c r="D248" s="134"/>
      <c r="E248" s="99"/>
      <c r="F248" s="99"/>
      <c r="G248" s="99"/>
      <c r="H248" s="99"/>
      <c r="I248" s="99"/>
    </row>
    <row r="249" spans="1:9" x14ac:dyDescent="0.25">
      <c r="A249" s="134"/>
      <c r="B249" s="134"/>
      <c r="C249" s="134"/>
      <c r="D249" s="134"/>
      <c r="E249" s="99"/>
      <c r="F249" s="99"/>
      <c r="G249" s="99"/>
      <c r="H249" s="99"/>
      <c r="I249" s="99"/>
    </row>
    <row r="250" spans="1:9" x14ac:dyDescent="0.25">
      <c r="A250" s="134"/>
      <c r="B250" s="134"/>
      <c r="C250" s="134"/>
      <c r="D250" s="134"/>
      <c r="E250" s="99"/>
      <c r="F250" s="99"/>
      <c r="G250" s="99"/>
      <c r="H250" s="99"/>
      <c r="I250" s="99"/>
    </row>
    <row r="251" spans="1:9" x14ac:dyDescent="0.25">
      <c r="A251" s="134"/>
      <c r="B251" s="134"/>
      <c r="C251" s="134"/>
      <c r="D251" s="134"/>
      <c r="E251" s="99"/>
      <c r="F251" s="99"/>
      <c r="G251" s="99"/>
      <c r="H251" s="99"/>
      <c r="I251" s="99"/>
    </row>
    <row r="252" spans="1:9" x14ac:dyDescent="0.25">
      <c r="A252" s="134"/>
      <c r="B252" s="134"/>
      <c r="C252" s="134"/>
      <c r="D252" s="134"/>
      <c r="E252" s="99"/>
      <c r="F252" s="99"/>
      <c r="G252" s="99"/>
      <c r="H252" s="99"/>
      <c r="I252" s="99"/>
    </row>
    <row r="253" spans="1:9" x14ac:dyDescent="0.25">
      <c r="A253" s="134"/>
      <c r="B253" s="134"/>
      <c r="C253" s="134"/>
      <c r="D253" s="134"/>
      <c r="E253" s="99"/>
      <c r="F253" s="99"/>
      <c r="G253" s="99"/>
      <c r="H253" s="99"/>
      <c r="I253" s="99"/>
    </row>
    <row r="254" spans="1:9" x14ac:dyDescent="0.25">
      <c r="A254" s="134"/>
      <c r="B254" s="134"/>
      <c r="C254" s="134"/>
      <c r="D254" s="134"/>
      <c r="E254" s="99"/>
      <c r="F254" s="99"/>
      <c r="G254" s="99"/>
      <c r="H254" s="99"/>
      <c r="I254" s="99"/>
    </row>
    <row r="255" spans="1:9" x14ac:dyDescent="0.25">
      <c r="A255" s="134"/>
      <c r="B255" s="134"/>
      <c r="C255" s="134"/>
      <c r="D255" s="134"/>
      <c r="E255" s="99"/>
      <c r="F255" s="99"/>
      <c r="G255" s="99"/>
      <c r="H255" s="99"/>
      <c r="I255" s="99"/>
    </row>
    <row r="256" spans="1:9" x14ac:dyDescent="0.25">
      <c r="A256" s="134"/>
      <c r="B256" s="134"/>
      <c r="C256" s="134"/>
      <c r="D256" s="134"/>
      <c r="E256" s="99"/>
      <c r="F256" s="99"/>
      <c r="G256" s="99"/>
      <c r="H256" s="99"/>
      <c r="I256" s="99"/>
    </row>
    <row r="257" spans="1:9" x14ac:dyDescent="0.25">
      <c r="A257" s="134"/>
      <c r="B257" s="134"/>
      <c r="C257" s="134"/>
      <c r="D257" s="134"/>
      <c r="E257" s="99"/>
      <c r="F257" s="99"/>
      <c r="G257" s="99"/>
      <c r="H257" s="99"/>
      <c r="I257" s="99"/>
    </row>
    <row r="258" spans="1:9" x14ac:dyDescent="0.25">
      <c r="A258" s="134"/>
      <c r="B258" s="134"/>
      <c r="C258" s="134"/>
      <c r="D258" s="134"/>
      <c r="E258" s="99"/>
      <c r="F258" s="99"/>
      <c r="G258" s="99"/>
      <c r="H258" s="99"/>
      <c r="I258" s="99"/>
    </row>
    <row r="259" spans="1:9" x14ac:dyDescent="0.25">
      <c r="A259" s="134"/>
      <c r="B259" s="134"/>
      <c r="C259" s="134"/>
      <c r="D259" s="134"/>
      <c r="E259" s="99"/>
      <c r="F259" s="99"/>
      <c r="G259" s="99"/>
      <c r="H259" s="99"/>
      <c r="I259" s="99"/>
    </row>
    <row r="260" spans="1:9" x14ac:dyDescent="0.25">
      <c r="A260" s="134"/>
      <c r="B260" s="134"/>
      <c r="C260" s="134"/>
      <c r="D260" s="134"/>
      <c r="E260" s="99"/>
      <c r="F260" s="99"/>
      <c r="G260" s="99"/>
      <c r="H260" s="99"/>
      <c r="I260" s="9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5DFB-354E-46D8-B90F-04F1D8ACB652}">
  <dimension ref="A3:A166"/>
  <sheetViews>
    <sheetView workbookViewId="0"/>
  </sheetViews>
  <sheetFormatPr defaultRowHeight="15.75" x14ac:dyDescent="0.25"/>
  <cols>
    <col min="1" max="16384" width="9" style="136"/>
  </cols>
  <sheetData>
    <row r="3" spans="1:1" s="98" customFormat="1" x14ac:dyDescent="0.25"/>
    <row r="4" spans="1:1" s="135" customFormat="1" x14ac:dyDescent="0.25"/>
    <row r="5" spans="1:1" s="98" customFormat="1" x14ac:dyDescent="0.25">
      <c r="A5" s="135"/>
    </row>
    <row r="6" spans="1:1" s="98" customFormat="1" x14ac:dyDescent="0.25">
      <c r="A6" s="135"/>
    </row>
    <row r="7" spans="1:1" s="135" customFormat="1" x14ac:dyDescent="0.25"/>
    <row r="8" spans="1:1" s="98" customFormat="1" x14ac:dyDescent="0.25">
      <c r="A8" s="135"/>
    </row>
    <row r="9" spans="1:1" s="98" customFormat="1" x14ac:dyDescent="0.25">
      <c r="A9" s="135"/>
    </row>
    <row r="10" spans="1:1" s="135" customFormat="1" x14ac:dyDescent="0.25"/>
    <row r="11" spans="1:1" s="98" customFormat="1" x14ac:dyDescent="0.25">
      <c r="A11" s="135"/>
    </row>
    <row r="12" spans="1:1" s="98" customFormat="1" x14ac:dyDescent="0.25">
      <c r="A12" s="135"/>
    </row>
    <row r="13" spans="1:1" s="135" customFormat="1" x14ac:dyDescent="0.25"/>
    <row r="14" spans="1:1" s="98" customFormat="1" x14ac:dyDescent="0.25">
      <c r="A14" s="135"/>
    </row>
    <row r="15" spans="1:1" s="98" customFormat="1" x14ac:dyDescent="0.25">
      <c r="A15" s="135"/>
    </row>
    <row r="16" spans="1:1" s="135" customFormat="1" x14ac:dyDescent="0.25"/>
    <row r="17" spans="1:1" s="98" customFormat="1" x14ac:dyDescent="0.25">
      <c r="A17" s="135"/>
    </row>
    <row r="18" spans="1:1" s="98" customFormat="1" x14ac:dyDescent="0.25">
      <c r="A18" s="135"/>
    </row>
    <row r="19" spans="1:1" s="135" customFormat="1" x14ac:dyDescent="0.25"/>
    <row r="20" spans="1:1" s="98" customFormat="1" x14ac:dyDescent="0.25">
      <c r="A20" s="135"/>
    </row>
    <row r="21" spans="1:1" s="98" customFormat="1" x14ac:dyDescent="0.25">
      <c r="A21" s="135"/>
    </row>
    <row r="22" spans="1:1" s="135" customFormat="1" x14ac:dyDescent="0.25"/>
    <row r="23" spans="1:1" s="98" customFormat="1" x14ac:dyDescent="0.25">
      <c r="A23" s="135"/>
    </row>
    <row r="24" spans="1:1" s="98" customFormat="1" x14ac:dyDescent="0.25">
      <c r="A24" s="135"/>
    </row>
    <row r="25" spans="1:1" s="135" customFormat="1" x14ac:dyDescent="0.25"/>
    <row r="26" spans="1:1" s="98" customFormat="1" x14ac:dyDescent="0.25">
      <c r="A26" s="135"/>
    </row>
    <row r="27" spans="1:1" s="98" customFormat="1" x14ac:dyDescent="0.25">
      <c r="A27" s="135"/>
    </row>
    <row r="28" spans="1:1" s="135" customFormat="1" x14ac:dyDescent="0.25"/>
    <row r="29" spans="1:1" s="98" customFormat="1" x14ac:dyDescent="0.25">
      <c r="A29" s="135"/>
    </row>
    <row r="30" spans="1:1" s="98" customFormat="1" x14ac:dyDescent="0.25">
      <c r="A30" s="135"/>
    </row>
    <row r="31" spans="1:1" s="135" customFormat="1" x14ac:dyDescent="0.25"/>
    <row r="32" spans="1:1" s="98" customFormat="1" x14ac:dyDescent="0.25">
      <c r="A32" s="135"/>
    </row>
    <row r="33" spans="1:1" s="98" customFormat="1" x14ac:dyDescent="0.25">
      <c r="A33" s="135"/>
    </row>
    <row r="34" spans="1:1" s="135" customFormat="1" x14ac:dyDescent="0.25"/>
    <row r="35" spans="1:1" s="98" customFormat="1" x14ac:dyDescent="0.25">
      <c r="A35" s="135"/>
    </row>
    <row r="36" spans="1:1" s="98" customFormat="1" x14ac:dyDescent="0.25">
      <c r="A36" s="135"/>
    </row>
    <row r="37" spans="1:1" s="135" customFormat="1" x14ac:dyDescent="0.25"/>
    <row r="38" spans="1:1" s="98" customFormat="1" x14ac:dyDescent="0.25">
      <c r="A38" s="135"/>
    </row>
    <row r="39" spans="1:1" s="98" customFormat="1" x14ac:dyDescent="0.25">
      <c r="A39" s="135"/>
    </row>
    <row r="40" spans="1:1" s="135" customFormat="1" x14ac:dyDescent="0.25"/>
    <row r="41" spans="1:1" s="98" customFormat="1" x14ac:dyDescent="0.25">
      <c r="A41" s="135"/>
    </row>
    <row r="42" spans="1:1" s="98" customFormat="1" x14ac:dyDescent="0.25">
      <c r="A42" s="135"/>
    </row>
    <row r="43" spans="1:1" s="135" customFormat="1" x14ac:dyDescent="0.25"/>
    <row r="44" spans="1:1" s="98" customFormat="1" x14ac:dyDescent="0.25">
      <c r="A44" s="135"/>
    </row>
    <row r="45" spans="1:1" s="98" customFormat="1" x14ac:dyDescent="0.25">
      <c r="A45" s="135"/>
    </row>
    <row r="46" spans="1:1" s="135" customFormat="1" x14ac:dyDescent="0.25"/>
    <row r="47" spans="1:1" s="98" customFormat="1" x14ac:dyDescent="0.25">
      <c r="A47" s="135"/>
    </row>
    <row r="48" spans="1:1" s="98" customFormat="1" x14ac:dyDescent="0.25">
      <c r="A48" s="135"/>
    </row>
    <row r="49" spans="1:1" s="135" customFormat="1" x14ac:dyDescent="0.25"/>
    <row r="50" spans="1:1" s="98" customFormat="1" x14ac:dyDescent="0.25">
      <c r="A50" s="135"/>
    </row>
    <row r="51" spans="1:1" s="98" customFormat="1" x14ac:dyDescent="0.25">
      <c r="A51" s="135"/>
    </row>
    <row r="52" spans="1:1" s="135" customFormat="1" x14ac:dyDescent="0.25"/>
    <row r="53" spans="1:1" s="98" customFormat="1" x14ac:dyDescent="0.25">
      <c r="A53" s="135"/>
    </row>
    <row r="54" spans="1:1" s="98" customFormat="1" x14ac:dyDescent="0.25">
      <c r="A54" s="135"/>
    </row>
    <row r="55" spans="1:1" s="135" customFormat="1" x14ac:dyDescent="0.25"/>
    <row r="56" spans="1:1" s="98" customFormat="1" x14ac:dyDescent="0.25">
      <c r="A56" s="135"/>
    </row>
    <row r="57" spans="1:1" s="98" customFormat="1" x14ac:dyDescent="0.25">
      <c r="A57" s="135"/>
    </row>
    <row r="58" spans="1:1" s="135" customFormat="1" x14ac:dyDescent="0.25"/>
    <row r="59" spans="1:1" s="98" customFormat="1" x14ac:dyDescent="0.25">
      <c r="A59" s="135"/>
    </row>
    <row r="60" spans="1:1" s="98" customFormat="1" x14ac:dyDescent="0.25">
      <c r="A60" s="135"/>
    </row>
    <row r="61" spans="1:1" s="135" customFormat="1" x14ac:dyDescent="0.25"/>
    <row r="62" spans="1:1" s="98" customFormat="1" x14ac:dyDescent="0.25">
      <c r="A62" s="135"/>
    </row>
    <row r="63" spans="1:1" s="98" customFormat="1" x14ac:dyDescent="0.25">
      <c r="A63" s="135"/>
    </row>
    <row r="64" spans="1:1" s="135" customFormat="1" x14ac:dyDescent="0.25"/>
    <row r="65" spans="1:1" s="98" customFormat="1" x14ac:dyDescent="0.25">
      <c r="A65" s="135"/>
    </row>
    <row r="66" spans="1:1" s="98" customFormat="1" x14ac:dyDescent="0.25">
      <c r="A66" s="135"/>
    </row>
    <row r="67" spans="1:1" s="135" customFormat="1" x14ac:dyDescent="0.25"/>
    <row r="68" spans="1:1" s="98" customFormat="1" x14ac:dyDescent="0.25">
      <c r="A68" s="135"/>
    </row>
    <row r="69" spans="1:1" s="98" customFormat="1" x14ac:dyDescent="0.25">
      <c r="A69" s="135"/>
    </row>
    <row r="70" spans="1:1" s="135" customFormat="1" x14ac:dyDescent="0.25"/>
    <row r="71" spans="1:1" s="98" customFormat="1" x14ac:dyDescent="0.25">
      <c r="A71" s="135"/>
    </row>
    <row r="72" spans="1:1" s="98" customFormat="1" x14ac:dyDescent="0.25">
      <c r="A72" s="135"/>
    </row>
    <row r="73" spans="1:1" s="135" customFormat="1" x14ac:dyDescent="0.25"/>
    <row r="74" spans="1:1" s="98" customFormat="1" x14ac:dyDescent="0.25">
      <c r="A74" s="135"/>
    </row>
    <row r="75" spans="1:1" s="98" customFormat="1" x14ac:dyDescent="0.25">
      <c r="A75" s="135"/>
    </row>
    <row r="76" spans="1:1" s="135" customFormat="1" x14ac:dyDescent="0.25"/>
    <row r="77" spans="1:1" s="98" customFormat="1" x14ac:dyDescent="0.25">
      <c r="A77" s="135"/>
    </row>
    <row r="78" spans="1:1" s="98" customFormat="1" x14ac:dyDescent="0.25">
      <c r="A78" s="135"/>
    </row>
    <row r="79" spans="1:1" s="135" customFormat="1" x14ac:dyDescent="0.25"/>
    <row r="80" spans="1:1" s="98" customFormat="1" x14ac:dyDescent="0.25">
      <c r="A80" s="135"/>
    </row>
    <row r="81" spans="1:1" s="98" customFormat="1" x14ac:dyDescent="0.25">
      <c r="A81" s="135"/>
    </row>
    <row r="82" spans="1:1" s="135" customFormat="1" x14ac:dyDescent="0.25"/>
    <row r="83" spans="1:1" s="98" customFormat="1" x14ac:dyDescent="0.25">
      <c r="A83" s="135"/>
    </row>
    <row r="84" spans="1:1" s="98" customFormat="1" x14ac:dyDescent="0.25">
      <c r="A84" s="135"/>
    </row>
    <row r="85" spans="1:1" s="135" customFormat="1" x14ac:dyDescent="0.25"/>
    <row r="86" spans="1:1" s="98" customFormat="1" x14ac:dyDescent="0.25">
      <c r="A86" s="135"/>
    </row>
    <row r="87" spans="1:1" s="98" customFormat="1" x14ac:dyDescent="0.25">
      <c r="A87" s="135"/>
    </row>
    <row r="88" spans="1:1" s="135" customFormat="1" x14ac:dyDescent="0.25"/>
    <row r="89" spans="1:1" s="98" customFormat="1" x14ac:dyDescent="0.25">
      <c r="A89" s="135"/>
    </row>
    <row r="90" spans="1:1" s="98" customFormat="1" x14ac:dyDescent="0.25">
      <c r="A90" s="135"/>
    </row>
    <row r="91" spans="1:1" s="135" customFormat="1" x14ac:dyDescent="0.25"/>
    <row r="92" spans="1:1" s="98" customFormat="1" x14ac:dyDescent="0.25">
      <c r="A92" s="135"/>
    </row>
    <row r="93" spans="1:1" s="98" customFormat="1" x14ac:dyDescent="0.25">
      <c r="A93" s="135"/>
    </row>
    <row r="94" spans="1:1" s="135" customFormat="1" x14ac:dyDescent="0.25"/>
    <row r="95" spans="1:1" s="98" customFormat="1" x14ac:dyDescent="0.25">
      <c r="A95" s="135"/>
    </row>
    <row r="96" spans="1:1" s="98" customFormat="1" x14ac:dyDescent="0.25">
      <c r="A96" s="135"/>
    </row>
    <row r="97" spans="1:1" s="135" customFormat="1" x14ac:dyDescent="0.25"/>
    <row r="98" spans="1:1" s="98" customFormat="1" x14ac:dyDescent="0.25">
      <c r="A98" s="135"/>
    </row>
    <row r="99" spans="1:1" s="98" customFormat="1" x14ac:dyDescent="0.25">
      <c r="A99" s="135"/>
    </row>
    <row r="100" spans="1:1" s="135" customFormat="1" x14ac:dyDescent="0.25"/>
    <row r="101" spans="1:1" s="98" customFormat="1" x14ac:dyDescent="0.25">
      <c r="A101" s="135"/>
    </row>
    <row r="102" spans="1:1" s="98" customFormat="1" x14ac:dyDescent="0.25">
      <c r="A102" s="135"/>
    </row>
    <row r="103" spans="1:1" s="135" customFormat="1" x14ac:dyDescent="0.25"/>
    <row r="104" spans="1:1" s="98" customFormat="1" x14ac:dyDescent="0.25">
      <c r="A104" s="135"/>
    </row>
    <row r="105" spans="1:1" s="98" customFormat="1" x14ac:dyDescent="0.25">
      <c r="A105" s="135"/>
    </row>
    <row r="106" spans="1:1" s="135" customFormat="1" x14ac:dyDescent="0.25"/>
    <row r="107" spans="1:1" s="98" customFormat="1" x14ac:dyDescent="0.25">
      <c r="A107" s="135"/>
    </row>
    <row r="108" spans="1:1" s="98" customFormat="1" x14ac:dyDescent="0.25">
      <c r="A108" s="135"/>
    </row>
    <row r="109" spans="1:1" s="135" customFormat="1" x14ac:dyDescent="0.25"/>
    <row r="110" spans="1:1" s="98" customFormat="1" x14ac:dyDescent="0.25">
      <c r="A110" s="135"/>
    </row>
    <row r="111" spans="1:1" s="98" customFormat="1" x14ac:dyDescent="0.25">
      <c r="A111" s="135"/>
    </row>
    <row r="112" spans="1:1" s="135" customFormat="1" x14ac:dyDescent="0.25"/>
    <row r="113" spans="1:1" s="98" customFormat="1" x14ac:dyDescent="0.25">
      <c r="A113" s="135"/>
    </row>
    <row r="114" spans="1:1" s="98" customFormat="1" x14ac:dyDescent="0.25">
      <c r="A114" s="135"/>
    </row>
    <row r="115" spans="1:1" s="135" customFormat="1" x14ac:dyDescent="0.25"/>
    <row r="116" spans="1:1" s="98" customFormat="1" x14ac:dyDescent="0.25">
      <c r="A116" s="135"/>
    </row>
    <row r="117" spans="1:1" s="98" customFormat="1" x14ac:dyDescent="0.25">
      <c r="A117" s="135"/>
    </row>
    <row r="118" spans="1:1" s="135" customFormat="1" x14ac:dyDescent="0.25"/>
    <row r="119" spans="1:1" s="98" customFormat="1" x14ac:dyDescent="0.25">
      <c r="A119" s="135"/>
    </row>
    <row r="120" spans="1:1" s="98" customFormat="1" x14ac:dyDescent="0.25">
      <c r="A120" s="135"/>
    </row>
    <row r="121" spans="1:1" s="135" customFormat="1" x14ac:dyDescent="0.25"/>
    <row r="122" spans="1:1" s="98" customFormat="1" x14ac:dyDescent="0.25">
      <c r="A122" s="135"/>
    </row>
    <row r="123" spans="1:1" s="98" customFormat="1" x14ac:dyDescent="0.25">
      <c r="A123" s="135"/>
    </row>
    <row r="124" spans="1:1" s="135" customFormat="1" x14ac:dyDescent="0.25"/>
    <row r="125" spans="1:1" s="98" customFormat="1" x14ac:dyDescent="0.25">
      <c r="A125" s="135"/>
    </row>
    <row r="126" spans="1:1" s="98" customFormat="1" x14ac:dyDescent="0.25">
      <c r="A126" s="135"/>
    </row>
    <row r="127" spans="1:1" s="135" customFormat="1" x14ac:dyDescent="0.25"/>
    <row r="128" spans="1:1" s="98" customFormat="1" x14ac:dyDescent="0.25">
      <c r="A128" s="135"/>
    </row>
    <row r="129" spans="1:1" s="98" customFormat="1" x14ac:dyDescent="0.25">
      <c r="A129" s="135"/>
    </row>
    <row r="130" spans="1:1" s="135" customFormat="1" x14ac:dyDescent="0.25"/>
    <row r="131" spans="1:1" s="98" customFormat="1" x14ac:dyDescent="0.25">
      <c r="A131" s="135"/>
    </row>
    <row r="132" spans="1:1" s="98" customFormat="1" x14ac:dyDescent="0.25">
      <c r="A132" s="135"/>
    </row>
    <row r="133" spans="1:1" s="135" customFormat="1" x14ac:dyDescent="0.25"/>
    <row r="134" spans="1:1" s="98" customFormat="1" x14ac:dyDescent="0.25">
      <c r="A134" s="135"/>
    </row>
    <row r="135" spans="1:1" s="98" customFormat="1" x14ac:dyDescent="0.25">
      <c r="A135" s="135"/>
    </row>
    <row r="136" spans="1:1" s="135" customFormat="1" x14ac:dyDescent="0.25"/>
    <row r="137" spans="1:1" s="98" customFormat="1" x14ac:dyDescent="0.25">
      <c r="A137" s="135"/>
    </row>
    <row r="138" spans="1:1" s="98" customFormat="1" x14ac:dyDescent="0.25">
      <c r="A138" s="135"/>
    </row>
    <row r="139" spans="1:1" s="135" customFormat="1" x14ac:dyDescent="0.25"/>
    <row r="140" spans="1:1" s="98" customFormat="1" x14ac:dyDescent="0.25">
      <c r="A140" s="135"/>
    </row>
    <row r="141" spans="1:1" s="98" customFormat="1" x14ac:dyDescent="0.25">
      <c r="A141" s="135"/>
    </row>
    <row r="142" spans="1:1" s="135" customFormat="1" x14ac:dyDescent="0.25"/>
    <row r="143" spans="1:1" s="98" customFormat="1" x14ac:dyDescent="0.25">
      <c r="A143" s="135"/>
    </row>
    <row r="144" spans="1:1" s="98" customFormat="1" x14ac:dyDescent="0.25">
      <c r="A144" s="135"/>
    </row>
    <row r="145" spans="1:1" s="135" customFormat="1" x14ac:dyDescent="0.25"/>
    <row r="146" spans="1:1" s="98" customFormat="1" x14ac:dyDescent="0.25">
      <c r="A146" s="135"/>
    </row>
    <row r="147" spans="1:1" s="98" customFormat="1" x14ac:dyDescent="0.25">
      <c r="A147" s="135"/>
    </row>
    <row r="148" spans="1:1" s="135" customFormat="1" x14ac:dyDescent="0.25"/>
    <row r="149" spans="1:1" s="98" customFormat="1" x14ac:dyDescent="0.25">
      <c r="A149" s="135"/>
    </row>
    <row r="150" spans="1:1" s="98" customFormat="1" x14ac:dyDescent="0.25">
      <c r="A150" s="135"/>
    </row>
    <row r="151" spans="1:1" s="135" customFormat="1" x14ac:dyDescent="0.25"/>
    <row r="152" spans="1:1" s="98" customFormat="1" x14ac:dyDescent="0.25">
      <c r="A152" s="135"/>
    </row>
    <row r="153" spans="1:1" s="98" customFormat="1" x14ac:dyDescent="0.25">
      <c r="A153" s="135"/>
    </row>
    <row r="154" spans="1:1" s="135" customFormat="1" x14ac:dyDescent="0.25"/>
    <row r="155" spans="1:1" s="98" customFormat="1" x14ac:dyDescent="0.25">
      <c r="A155" s="135"/>
    </row>
    <row r="156" spans="1:1" s="98" customFormat="1" x14ac:dyDescent="0.25">
      <c r="A156" s="135"/>
    </row>
    <row r="157" spans="1:1" s="135" customFormat="1" x14ac:dyDescent="0.25"/>
    <row r="158" spans="1:1" s="98" customFormat="1" x14ac:dyDescent="0.25">
      <c r="A158" s="135"/>
    </row>
    <row r="159" spans="1:1" s="98" customFormat="1" x14ac:dyDescent="0.25">
      <c r="A159" s="135"/>
    </row>
    <row r="160" spans="1:1" s="135" customFormat="1" x14ac:dyDescent="0.25"/>
    <row r="161" spans="1:1" s="98" customFormat="1" x14ac:dyDescent="0.25">
      <c r="A161" s="135"/>
    </row>
    <row r="162" spans="1:1" s="98" customFormat="1" x14ac:dyDescent="0.25">
      <c r="A162" s="135"/>
    </row>
    <row r="163" spans="1:1" s="135" customFormat="1" x14ac:dyDescent="0.25"/>
    <row r="164" spans="1:1" s="98" customFormat="1" x14ac:dyDescent="0.25">
      <c r="A164" s="135"/>
    </row>
    <row r="165" spans="1:1" s="98" customFormat="1" x14ac:dyDescent="0.25">
      <c r="A165" s="135"/>
    </row>
    <row r="166" spans="1:1" s="98" customFormat="1" x14ac:dyDescent="0.25"/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sheetPr codeName="工作表10"/>
  <dimension ref="A1:D4"/>
  <sheetViews>
    <sheetView workbookViewId="0"/>
  </sheetViews>
  <sheetFormatPr defaultRowHeight="16.5" x14ac:dyDescent="0.25"/>
  <cols>
    <col min="1" max="1" width="13.875" bestFit="1" customWidth="1"/>
    <col min="2" max="2" width="14.75" bestFit="1" customWidth="1"/>
    <col min="3" max="3" width="12.75" bestFit="1" customWidth="1"/>
    <col min="4" max="4" width="54.875" bestFit="1" customWidth="1"/>
  </cols>
  <sheetData>
    <row r="1" spans="1:4" x14ac:dyDescent="0.25">
      <c r="A1" t="s">
        <v>366</v>
      </c>
      <c r="B1" t="s">
        <v>366</v>
      </c>
      <c r="C1" t="s">
        <v>583</v>
      </c>
      <c r="D1" t="s">
        <v>580</v>
      </c>
    </row>
    <row r="2" spans="1:4" x14ac:dyDescent="0.25">
      <c r="A2" t="s">
        <v>577</v>
      </c>
      <c r="B2" t="s">
        <v>578</v>
      </c>
      <c r="C2" t="s">
        <v>582</v>
      </c>
      <c r="D2" t="s">
        <v>579</v>
      </c>
    </row>
    <row r="3" spans="1:4" x14ac:dyDescent="0.25">
      <c r="A3">
        <v>0</v>
      </c>
      <c r="B3" t="s">
        <v>581</v>
      </c>
      <c r="C3" t="s">
        <v>584</v>
      </c>
      <c r="D3" t="s">
        <v>585</v>
      </c>
    </row>
    <row r="4" spans="1:4" x14ac:dyDescent="0.25">
      <c r="A4">
        <v>1</v>
      </c>
      <c r="B4" t="s">
        <v>604</v>
      </c>
      <c r="C4" t="s">
        <v>605</v>
      </c>
      <c r="D4" t="s">
        <v>606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71"/>
  <sheetViews>
    <sheetView workbookViewId="0"/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6384" width="9" style="18"/>
  </cols>
  <sheetData>
    <row r="1" spans="1:7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7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</row>
    <row r="3" spans="1:7" ht="17.25" thickBot="1" x14ac:dyDescent="0.3">
      <c r="A3" s="23" t="s">
        <v>484</v>
      </c>
      <c r="B3" s="24" t="s">
        <v>463</v>
      </c>
      <c r="C3" s="25" t="s">
        <v>3</v>
      </c>
      <c r="D3" s="16" t="s">
        <v>19</v>
      </c>
      <c r="E3" s="26" t="s">
        <v>334</v>
      </c>
      <c r="F3" s="27">
        <v>3.7</v>
      </c>
    </row>
    <row r="4" spans="1:7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</v>
      </c>
    </row>
    <row r="5" spans="1:7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5.0000000000000001E-3</v>
      </c>
    </row>
    <row r="6" spans="1:7" ht="17.25" thickBot="1" x14ac:dyDescent="0.3">
      <c r="A6" s="16"/>
      <c r="B6" s="16"/>
      <c r="C6" s="28"/>
      <c r="D6" s="16"/>
      <c r="E6" s="30" t="s">
        <v>336</v>
      </c>
      <c r="F6" s="31" t="s">
        <v>462</v>
      </c>
    </row>
    <row r="7" spans="1:7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7" x14ac:dyDescent="0.25">
      <c r="A8" s="35" t="s">
        <v>5</v>
      </c>
      <c r="B8" s="36" t="s">
        <v>6</v>
      </c>
      <c r="C8" s="16"/>
      <c r="D8" s="16"/>
    </row>
    <row r="9" spans="1:7" x14ac:dyDescent="0.25">
      <c r="A9" s="35" t="s">
        <v>39</v>
      </c>
      <c r="B9" s="36" t="s">
        <v>41</v>
      </c>
      <c r="C9" s="16"/>
      <c r="D9" s="16" t="s">
        <v>40</v>
      </c>
    </row>
    <row r="10" spans="1:7" x14ac:dyDescent="0.25">
      <c r="A10" s="16" t="s">
        <v>42</v>
      </c>
      <c r="B10" s="37" t="s">
        <v>485</v>
      </c>
      <c r="C10" s="16"/>
      <c r="D10" s="16" t="s">
        <v>43</v>
      </c>
    </row>
    <row r="11" spans="1:7" x14ac:dyDescent="0.25">
      <c r="A11" s="16" t="s">
        <v>421</v>
      </c>
      <c r="B11" s="38">
        <v>2</v>
      </c>
      <c r="C11" s="16"/>
      <c r="D11" s="16" t="s">
        <v>440</v>
      </c>
    </row>
    <row r="12" spans="1:7" x14ac:dyDescent="0.25">
      <c r="A12" s="16" t="s">
        <v>446</v>
      </c>
      <c r="B12" s="38">
        <v>1</v>
      </c>
      <c r="C12" s="16"/>
      <c r="D12" s="16" t="s">
        <v>447</v>
      </c>
    </row>
    <row r="13" spans="1:7" x14ac:dyDescent="0.25">
      <c r="A13" s="16" t="s">
        <v>460</v>
      </c>
      <c r="B13" s="88">
        <v>0</v>
      </c>
      <c r="C13" s="87">
        <v>1</v>
      </c>
      <c r="D13" s="16" t="s">
        <v>461</v>
      </c>
    </row>
    <row r="14" spans="1:7" x14ac:dyDescent="0.25">
      <c r="A14" s="16"/>
      <c r="B14" s="28"/>
      <c r="C14" s="28"/>
      <c r="D14" s="16"/>
    </row>
    <row r="15" spans="1:7" s="34" customFormat="1" x14ac:dyDescent="0.25">
      <c r="A15" s="32" t="s">
        <v>486</v>
      </c>
      <c r="B15" s="34" t="s">
        <v>24</v>
      </c>
      <c r="C15" s="32" t="s">
        <v>25</v>
      </c>
      <c r="D15" s="32"/>
    </row>
    <row r="16" spans="1:7" x14ac:dyDescent="0.25">
      <c r="A16" s="16"/>
      <c r="B16" s="16" t="s">
        <v>7</v>
      </c>
      <c r="C16" s="38">
        <v>3.7</v>
      </c>
      <c r="D16" s="16"/>
    </row>
    <row r="17" spans="1:4" x14ac:dyDescent="0.25">
      <c r="A17" s="16"/>
      <c r="B17" s="16" t="s">
        <v>8</v>
      </c>
      <c r="C17" s="38">
        <v>6</v>
      </c>
      <c r="D17" s="16" t="s">
        <v>58</v>
      </c>
    </row>
    <row r="18" spans="1:4" x14ac:dyDescent="0.25">
      <c r="A18" s="16"/>
      <c r="B18" s="16" t="s">
        <v>9</v>
      </c>
      <c r="C18" s="38">
        <v>1.5</v>
      </c>
      <c r="D18" s="16" t="s">
        <v>70</v>
      </c>
    </row>
    <row r="19" spans="1:4" x14ac:dyDescent="0.25">
      <c r="A19" s="16"/>
      <c r="B19" s="16" t="s">
        <v>26</v>
      </c>
      <c r="C19" s="38">
        <v>1</v>
      </c>
      <c r="D19" s="16"/>
    </row>
    <row r="20" spans="1:4" x14ac:dyDescent="0.25">
      <c r="A20" s="16"/>
      <c r="B20" s="16" t="s">
        <v>57</v>
      </c>
      <c r="C20" s="38">
        <v>0.5</v>
      </c>
      <c r="D20" s="16"/>
    </row>
    <row r="21" spans="1:4" x14ac:dyDescent="0.25">
      <c r="A21" s="16"/>
      <c r="B21" s="16"/>
      <c r="C21" s="17"/>
      <c r="D21" s="16"/>
    </row>
    <row r="22" spans="1:4" x14ac:dyDescent="0.25">
      <c r="A22" s="16"/>
      <c r="B22" s="16"/>
      <c r="C22" s="17"/>
      <c r="D22" s="16"/>
    </row>
    <row r="23" spans="1:4" x14ac:dyDescent="0.25">
      <c r="A23" s="16"/>
      <c r="B23" s="16"/>
      <c r="C23" s="17"/>
      <c r="D23" s="16"/>
    </row>
    <row r="24" spans="1:4" x14ac:dyDescent="0.25">
      <c r="A24" s="16"/>
      <c r="B24" s="16"/>
      <c r="C24" s="17"/>
      <c r="D24" s="16"/>
    </row>
    <row r="25" spans="1:4" x14ac:dyDescent="0.25">
      <c r="A25" s="16"/>
      <c r="D25" s="16"/>
    </row>
    <row r="26" spans="1:4" x14ac:dyDescent="0.25">
      <c r="A26" s="32" t="s">
        <v>27</v>
      </c>
      <c r="B26" s="32" t="s">
        <v>28</v>
      </c>
      <c r="C26" s="32" t="s">
        <v>10</v>
      </c>
      <c r="D26" s="32" t="s">
        <v>11</v>
      </c>
    </row>
    <row r="27" spans="1:4" ht="33" x14ac:dyDescent="0.25">
      <c r="A27" s="16"/>
      <c r="B27" s="16" t="s">
        <v>46</v>
      </c>
      <c r="C27" s="38">
        <v>1</v>
      </c>
      <c r="D27" s="39" t="s">
        <v>349</v>
      </c>
    </row>
    <row r="28" spans="1:4" ht="33" x14ac:dyDescent="0.25">
      <c r="A28" s="16"/>
      <c r="B28" s="16" t="s">
        <v>45</v>
      </c>
      <c r="C28" s="38">
        <v>23</v>
      </c>
      <c r="D28" s="39" t="s">
        <v>350</v>
      </c>
    </row>
    <row r="29" spans="1:4" ht="66" x14ac:dyDescent="0.25">
      <c r="A29" s="16"/>
      <c r="B29" s="16" t="s">
        <v>44</v>
      </c>
      <c r="C29" s="38">
        <v>21</v>
      </c>
      <c r="D29" s="39" t="s">
        <v>351</v>
      </c>
    </row>
    <row r="30" spans="1:4" ht="33" x14ac:dyDescent="0.25">
      <c r="A30" s="16"/>
      <c r="B30" s="16" t="s">
        <v>47</v>
      </c>
      <c r="C30" s="38">
        <v>7</v>
      </c>
      <c r="D30" s="39" t="s">
        <v>352</v>
      </c>
    </row>
    <row r="31" spans="1:4" x14ac:dyDescent="0.25">
      <c r="A31" s="16"/>
      <c r="B31" s="16" t="s">
        <v>358</v>
      </c>
      <c r="C31" s="38">
        <v>24</v>
      </c>
      <c r="D31" s="39"/>
    </row>
    <row r="32" spans="1:4" x14ac:dyDescent="0.25">
      <c r="A32" s="16"/>
      <c r="B32" s="16" t="s">
        <v>466</v>
      </c>
      <c r="C32" s="38">
        <v>10</v>
      </c>
      <c r="D32" s="39"/>
    </row>
    <row r="33" spans="1:4" x14ac:dyDescent="0.25">
      <c r="A33" s="16"/>
      <c r="B33" s="16"/>
      <c r="C33" s="17"/>
      <c r="D33" s="40"/>
    </row>
    <row r="34" spans="1:4" x14ac:dyDescent="0.25">
      <c r="A34" s="16"/>
    </row>
    <row r="35" spans="1:4" x14ac:dyDescent="0.25">
      <c r="A35" s="16"/>
    </row>
    <row r="36" spans="1:4" x14ac:dyDescent="0.25">
      <c r="A36" s="34" t="s">
        <v>29</v>
      </c>
      <c r="B36" s="34" t="s">
        <v>24</v>
      </c>
      <c r="C36" s="34" t="s">
        <v>30</v>
      </c>
      <c r="D36" s="34" t="s">
        <v>31</v>
      </c>
    </row>
    <row r="37" spans="1:4" x14ac:dyDescent="0.25">
      <c r="B37" s="16" t="s">
        <v>359</v>
      </c>
      <c r="C37" s="38">
        <v>15</v>
      </c>
      <c r="D37" s="18" t="s">
        <v>360</v>
      </c>
    </row>
    <row r="38" spans="1:4" x14ac:dyDescent="0.25">
      <c r="B38" s="16" t="s">
        <v>12</v>
      </c>
      <c r="C38" s="38">
        <v>7</v>
      </c>
      <c r="D38" s="18" t="s">
        <v>32</v>
      </c>
    </row>
    <row r="39" spans="1:4" x14ac:dyDescent="0.25">
      <c r="B39" s="16" t="s">
        <v>13</v>
      </c>
      <c r="C39" s="38">
        <v>0.5</v>
      </c>
      <c r="D39" s="18" t="s">
        <v>32</v>
      </c>
    </row>
    <row r="40" spans="1:4" x14ac:dyDescent="0.25">
      <c r="B40" s="16" t="s">
        <v>48</v>
      </c>
      <c r="C40" s="38">
        <v>3</v>
      </c>
      <c r="D40" s="18" t="s">
        <v>437</v>
      </c>
    </row>
    <row r="41" spans="1:4" x14ac:dyDescent="0.25">
      <c r="B41" s="16" t="s">
        <v>49</v>
      </c>
      <c r="C41" s="38">
        <v>1E-4</v>
      </c>
      <c r="D41" s="18" t="s">
        <v>51</v>
      </c>
    </row>
    <row r="42" spans="1:4" x14ac:dyDescent="0.25">
      <c r="B42" s="16" t="s">
        <v>50</v>
      </c>
      <c r="C42" s="38">
        <v>9.9999999999999995E-7</v>
      </c>
      <c r="D42" s="18" t="s">
        <v>52</v>
      </c>
    </row>
    <row r="43" spans="1:4" x14ac:dyDescent="0.25">
      <c r="B43" s="16" t="s">
        <v>53</v>
      </c>
      <c r="C43" s="38">
        <v>1</v>
      </c>
      <c r="D43" s="18" t="s">
        <v>60</v>
      </c>
    </row>
    <row r="44" spans="1:4" x14ac:dyDescent="0.25">
      <c r="B44" s="17" t="s">
        <v>54</v>
      </c>
      <c r="C44" s="41" t="s">
        <v>55</v>
      </c>
      <c r="D44" s="18" t="s">
        <v>56</v>
      </c>
    </row>
    <row r="45" spans="1:4" x14ac:dyDescent="0.25">
      <c r="B45" s="16" t="s">
        <v>59</v>
      </c>
      <c r="C45" s="41">
        <v>2</v>
      </c>
      <c r="D45" s="18" t="s">
        <v>61</v>
      </c>
    </row>
    <row r="46" spans="1:4" x14ac:dyDescent="0.25">
      <c r="B46" s="16" t="s">
        <v>343</v>
      </c>
      <c r="C46" s="41">
        <v>1</v>
      </c>
      <c r="D46" s="18" t="s">
        <v>344</v>
      </c>
    </row>
    <row r="47" spans="1:4" x14ac:dyDescent="0.25">
      <c r="B47" s="17" t="s">
        <v>361</v>
      </c>
      <c r="C47" s="41" t="s">
        <v>362</v>
      </c>
      <c r="D47" s="18" t="s">
        <v>363</v>
      </c>
    </row>
    <row r="49" spans="1:4" x14ac:dyDescent="0.25">
      <c r="A49" s="34" t="s">
        <v>33</v>
      </c>
      <c r="B49" s="34" t="s">
        <v>24</v>
      </c>
      <c r="C49" s="34" t="s">
        <v>34</v>
      </c>
      <c r="D49" s="34" t="s">
        <v>31</v>
      </c>
    </row>
    <row r="50" spans="1:4" x14ac:dyDescent="0.25">
      <c r="B50" s="16" t="s">
        <v>14</v>
      </c>
      <c r="C50" s="38">
        <v>4</v>
      </c>
      <c r="D50" s="18" t="s">
        <v>35</v>
      </c>
    </row>
    <row r="51" spans="1:4" x14ac:dyDescent="0.25">
      <c r="B51" s="16" t="s">
        <v>62</v>
      </c>
      <c r="C51" s="38">
        <v>0.8</v>
      </c>
      <c r="D51" s="18" t="s">
        <v>36</v>
      </c>
    </row>
    <row r="52" spans="1:4" x14ac:dyDescent="0.25">
      <c r="B52" s="18" t="s">
        <v>337</v>
      </c>
      <c r="C52" s="41">
        <v>0</v>
      </c>
      <c r="D52" s="18" t="s">
        <v>338</v>
      </c>
    </row>
    <row r="53" spans="1:4" x14ac:dyDescent="0.25">
      <c r="B53" s="18" t="s">
        <v>37</v>
      </c>
      <c r="C53" s="41">
        <v>0.5</v>
      </c>
      <c r="D53" s="18" t="s">
        <v>38</v>
      </c>
    </row>
    <row r="54" spans="1:4" x14ac:dyDescent="0.25">
      <c r="B54" s="18" t="s">
        <v>63</v>
      </c>
      <c r="C54" s="41">
        <v>0.01</v>
      </c>
      <c r="D54" s="18" t="s">
        <v>64</v>
      </c>
    </row>
    <row r="55" spans="1:4" x14ac:dyDescent="0.25">
      <c r="B55" s="18" t="s">
        <v>328</v>
      </c>
      <c r="C55" s="41">
        <v>1</v>
      </c>
      <c r="D55" s="18" t="s">
        <v>329</v>
      </c>
    </row>
    <row r="56" spans="1:4" x14ac:dyDescent="0.25">
      <c r="B56" s="18" t="s">
        <v>345</v>
      </c>
      <c r="C56" s="41">
        <v>7.6000000000000004E-5</v>
      </c>
      <c r="D56" s="18" t="s">
        <v>347</v>
      </c>
    </row>
    <row r="57" spans="1:4" x14ac:dyDescent="0.25">
      <c r="B57" s="18" t="s">
        <v>346</v>
      </c>
      <c r="C57" s="41">
        <v>8.5000000000000006E-5</v>
      </c>
      <c r="D57" s="18" t="s">
        <v>348</v>
      </c>
    </row>
    <row r="58" spans="1:4" x14ac:dyDescent="0.25">
      <c r="B58" s="18" t="s">
        <v>354</v>
      </c>
      <c r="C58" s="41">
        <v>25</v>
      </c>
      <c r="D58" s="18" t="s">
        <v>356</v>
      </c>
    </row>
    <row r="59" spans="1:4" x14ac:dyDescent="0.25">
      <c r="B59" s="18" t="s">
        <v>355</v>
      </c>
      <c r="C59" s="41">
        <v>3</v>
      </c>
      <c r="D59" s="18" t="s">
        <v>357</v>
      </c>
    </row>
    <row r="60" spans="1:4" x14ac:dyDescent="0.25">
      <c r="B60" s="18" t="s">
        <v>364</v>
      </c>
      <c r="C60" s="41">
        <v>2</v>
      </c>
      <c r="D60" s="18" t="s">
        <v>365</v>
      </c>
    </row>
    <row r="61" spans="1:4" x14ac:dyDescent="0.25">
      <c r="B61" s="18" t="s">
        <v>435</v>
      </c>
      <c r="C61" s="41">
        <v>1</v>
      </c>
      <c r="D61" s="18" t="s">
        <v>438</v>
      </c>
    </row>
    <row r="62" spans="1:4" x14ac:dyDescent="0.25">
      <c r="B62" s="18" t="s">
        <v>436</v>
      </c>
      <c r="C62" s="41">
        <v>2</v>
      </c>
      <c r="D62" s="18" t="s">
        <v>439</v>
      </c>
    </row>
    <row r="63" spans="1:4" x14ac:dyDescent="0.25">
      <c r="B63" s="18" t="s">
        <v>464</v>
      </c>
      <c r="C63" s="41">
        <v>1</v>
      </c>
      <c r="D63" s="18" t="s">
        <v>465</v>
      </c>
    </row>
    <row r="64" spans="1:4" x14ac:dyDescent="0.25">
      <c r="B64" s="18" t="s">
        <v>470</v>
      </c>
      <c r="C64" s="41">
        <v>0</v>
      </c>
      <c r="D64" s="18" t="s">
        <v>467</v>
      </c>
    </row>
    <row r="65" spans="2:4" x14ac:dyDescent="0.25">
      <c r="B65" s="18" t="s">
        <v>468</v>
      </c>
      <c r="C65" s="41">
        <v>0</v>
      </c>
      <c r="D65" s="18" t="s">
        <v>469</v>
      </c>
    </row>
    <row r="66" spans="2:4" x14ac:dyDescent="0.25">
      <c r="B66" s="18" t="s">
        <v>471</v>
      </c>
      <c r="C66" s="41">
        <v>0</v>
      </c>
      <c r="D66" s="18" t="s">
        <v>472</v>
      </c>
    </row>
    <row r="67" spans="2:4" x14ac:dyDescent="0.25">
      <c r="B67" s="18" t="s">
        <v>473</v>
      </c>
      <c r="C67" s="41">
        <v>1</v>
      </c>
      <c r="D67" s="18" t="s">
        <v>474</v>
      </c>
    </row>
    <row r="68" spans="2:4" x14ac:dyDescent="0.25">
      <c r="B68" s="18" t="s">
        <v>476</v>
      </c>
      <c r="C68" s="41">
        <v>25</v>
      </c>
      <c r="D68" s="18" t="s">
        <v>477</v>
      </c>
    </row>
    <row r="69" spans="2:4" x14ac:dyDescent="0.25">
      <c r="B69" s="18" t="s">
        <v>478</v>
      </c>
      <c r="C69" s="41">
        <v>185</v>
      </c>
      <c r="D69" s="18" t="s">
        <v>480</v>
      </c>
    </row>
    <row r="70" spans="2:4" x14ac:dyDescent="0.25">
      <c r="B70" s="18" t="s">
        <v>479</v>
      </c>
      <c r="C70" s="41">
        <v>-40</v>
      </c>
      <c r="D70" s="18" t="s">
        <v>481</v>
      </c>
    </row>
    <row r="71" spans="2:4" x14ac:dyDescent="0.25">
      <c r="B71" s="18" t="s">
        <v>482</v>
      </c>
      <c r="C71" s="41">
        <v>0.1</v>
      </c>
      <c r="D71" s="18" t="s">
        <v>483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FED5-8BF2-4BDB-BEA5-2346687E901D}">
  <sheetPr codeName="工作表7"/>
  <dimension ref="A1:L94"/>
  <sheetViews>
    <sheetView workbookViewId="0"/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6384" width="9" style="18"/>
  </cols>
  <sheetData>
    <row r="1" spans="1:12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12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  <c r="H2" s="89" t="s">
        <v>493</v>
      </c>
      <c r="I2" s="90" t="s">
        <v>490</v>
      </c>
      <c r="K2" s="89" t="s">
        <v>493</v>
      </c>
      <c r="L2" s="90" t="s">
        <v>490</v>
      </c>
    </row>
    <row r="3" spans="1:12" ht="17.25" thickBot="1" x14ac:dyDescent="0.3">
      <c r="A3" s="23" t="s">
        <v>484</v>
      </c>
      <c r="B3" s="24" t="s">
        <v>463</v>
      </c>
      <c r="C3" s="25" t="s">
        <v>3</v>
      </c>
      <c r="D3" s="16" t="s">
        <v>19</v>
      </c>
      <c r="E3" s="26" t="s">
        <v>68</v>
      </c>
      <c r="F3" s="27">
        <v>3.7</v>
      </c>
      <c r="H3" s="26" t="s">
        <v>494</v>
      </c>
      <c r="I3" s="91">
        <v>15</v>
      </c>
      <c r="K3" s="26" t="s">
        <v>496</v>
      </c>
      <c r="L3" s="91"/>
    </row>
    <row r="4" spans="1:12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</v>
      </c>
      <c r="H4" s="26" t="s">
        <v>491</v>
      </c>
      <c r="I4" s="91">
        <v>26</v>
      </c>
      <c r="K4" s="26" t="s">
        <v>497</v>
      </c>
      <c r="L4" s="91"/>
    </row>
    <row r="5" spans="1:12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5.0000000000000001E-3</v>
      </c>
      <c r="H5" s="30" t="s">
        <v>492</v>
      </c>
      <c r="I5" s="91">
        <v>50</v>
      </c>
      <c r="K5" s="30" t="s">
        <v>498</v>
      </c>
      <c r="L5" s="91"/>
    </row>
    <row r="6" spans="1:12" ht="17.25" thickBot="1" x14ac:dyDescent="0.3">
      <c r="A6" s="16"/>
      <c r="B6" s="16"/>
      <c r="C6" s="28"/>
      <c r="D6" s="16"/>
      <c r="E6" s="30" t="s">
        <v>336</v>
      </c>
      <c r="F6" s="31" t="s">
        <v>462</v>
      </c>
      <c r="H6" s="30" t="s">
        <v>369</v>
      </c>
      <c r="I6" s="92"/>
      <c r="K6" s="30" t="s">
        <v>499</v>
      </c>
      <c r="L6" s="92"/>
    </row>
    <row r="7" spans="1:12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12" x14ac:dyDescent="0.25">
      <c r="A8" s="35" t="s">
        <v>5</v>
      </c>
      <c r="B8" s="36" t="s">
        <v>6</v>
      </c>
      <c r="C8" s="16"/>
      <c r="D8" s="16"/>
    </row>
    <row r="9" spans="1:12" x14ac:dyDescent="0.25">
      <c r="A9" s="35" t="s">
        <v>39</v>
      </c>
      <c r="B9" s="36" t="s">
        <v>41</v>
      </c>
      <c r="C9" s="16"/>
      <c r="D9" s="16" t="s">
        <v>40</v>
      </c>
    </row>
    <row r="10" spans="1:12" x14ac:dyDescent="0.25">
      <c r="A10" s="16" t="s">
        <v>42</v>
      </c>
      <c r="B10" s="37" t="s">
        <v>485</v>
      </c>
      <c r="C10" s="16"/>
      <c r="D10" s="16" t="s">
        <v>43</v>
      </c>
    </row>
    <row r="11" spans="1:12" x14ac:dyDescent="0.25">
      <c r="A11" s="16" t="s">
        <v>421</v>
      </c>
      <c r="B11" s="38">
        <v>2</v>
      </c>
      <c r="C11" s="16"/>
      <c r="D11" s="16" t="s">
        <v>440</v>
      </c>
    </row>
    <row r="12" spans="1:12" x14ac:dyDescent="0.25">
      <c r="A12" s="16" t="s">
        <v>446</v>
      </c>
      <c r="B12" s="38">
        <v>1</v>
      </c>
      <c r="C12" s="16"/>
      <c r="D12" s="16" t="s">
        <v>447</v>
      </c>
    </row>
    <row r="13" spans="1:12" x14ac:dyDescent="0.25">
      <c r="A13" s="16" t="s">
        <v>487</v>
      </c>
      <c r="B13" s="88">
        <v>0</v>
      </c>
      <c r="C13" s="87">
        <v>1</v>
      </c>
      <c r="D13" s="16" t="s">
        <v>461</v>
      </c>
    </row>
    <row r="14" spans="1:12" x14ac:dyDescent="0.25">
      <c r="A14" s="16"/>
      <c r="B14" s="28"/>
      <c r="C14" s="28"/>
      <c r="D14" s="16"/>
    </row>
    <row r="15" spans="1:12" s="34" customFormat="1" x14ac:dyDescent="0.25">
      <c r="A15" s="32" t="s">
        <v>486</v>
      </c>
      <c r="B15" s="34" t="s">
        <v>24</v>
      </c>
      <c r="C15" s="32" t="s">
        <v>25</v>
      </c>
      <c r="D15" s="32"/>
      <c r="E15" s="34" t="s">
        <v>488</v>
      </c>
    </row>
    <row r="16" spans="1:12" x14ac:dyDescent="0.25">
      <c r="A16" s="16"/>
      <c r="B16" s="16" t="s">
        <v>7</v>
      </c>
      <c r="C16" s="38">
        <v>3.7</v>
      </c>
      <c r="D16" s="16"/>
      <c r="E16" s="18">
        <v>1</v>
      </c>
    </row>
    <row r="17" spans="1:6" x14ac:dyDescent="0.25">
      <c r="A17" s="16"/>
      <c r="B17" s="16" t="s">
        <v>8</v>
      </c>
      <c r="C17" s="38">
        <v>6</v>
      </c>
      <c r="D17" s="16" t="s">
        <v>58</v>
      </c>
      <c r="E17" s="18">
        <v>2</v>
      </c>
    </row>
    <row r="18" spans="1:6" x14ac:dyDescent="0.25">
      <c r="A18" s="16"/>
      <c r="B18" s="16" t="s">
        <v>9</v>
      </c>
      <c r="C18" s="38">
        <v>1.5</v>
      </c>
      <c r="D18" s="16" t="s">
        <v>70</v>
      </c>
      <c r="E18" s="18">
        <v>3</v>
      </c>
    </row>
    <row r="19" spans="1:6" x14ac:dyDescent="0.25">
      <c r="A19" s="16"/>
      <c r="B19" s="16" t="s">
        <v>26</v>
      </c>
      <c r="C19" s="38">
        <v>1</v>
      </c>
      <c r="D19" s="16"/>
      <c r="E19" s="18">
        <v>4</v>
      </c>
    </row>
    <row r="20" spans="1:6" x14ac:dyDescent="0.25">
      <c r="A20" s="16"/>
      <c r="B20" s="16" t="s">
        <v>57</v>
      </c>
      <c r="C20" s="38">
        <v>0.5</v>
      </c>
      <c r="D20" s="16"/>
      <c r="E20" s="18">
        <v>5</v>
      </c>
    </row>
    <row r="21" spans="1:6" x14ac:dyDescent="0.25">
      <c r="A21" s="16"/>
      <c r="B21" s="16"/>
      <c r="C21" s="17"/>
      <c r="D21" s="16"/>
    </row>
    <row r="22" spans="1:6" x14ac:dyDescent="0.25">
      <c r="A22" s="16"/>
      <c r="B22" s="16"/>
      <c r="C22" s="17"/>
      <c r="D22" s="16"/>
    </row>
    <row r="23" spans="1:6" x14ac:dyDescent="0.25">
      <c r="A23" s="16"/>
      <c r="B23" s="16"/>
      <c r="C23" s="17"/>
      <c r="D23" s="16"/>
    </row>
    <row r="24" spans="1:6" x14ac:dyDescent="0.25">
      <c r="A24" s="16"/>
      <c r="B24" s="16"/>
      <c r="C24" s="17"/>
      <c r="D24" s="16"/>
    </row>
    <row r="25" spans="1:6" x14ac:dyDescent="0.25">
      <c r="A25" s="16"/>
      <c r="D25" s="16"/>
    </row>
    <row r="26" spans="1:6" s="34" customFormat="1" x14ac:dyDescent="0.25">
      <c r="A26" s="32" t="s">
        <v>27</v>
      </c>
      <c r="B26" s="32" t="s">
        <v>28</v>
      </c>
      <c r="C26" s="32" t="s">
        <v>10</v>
      </c>
      <c r="D26" s="32" t="s">
        <v>11</v>
      </c>
      <c r="E26" s="34" t="s">
        <v>488</v>
      </c>
    </row>
    <row r="27" spans="1:6" ht="33" x14ac:dyDescent="0.25">
      <c r="A27" s="16"/>
      <c r="B27" s="16" t="s">
        <v>46</v>
      </c>
      <c r="C27" s="38">
        <v>1</v>
      </c>
      <c r="D27" s="39" t="s">
        <v>349</v>
      </c>
      <c r="E27" s="18">
        <v>1</v>
      </c>
    </row>
    <row r="28" spans="1:6" ht="33" x14ac:dyDescent="0.25">
      <c r="A28" s="16"/>
      <c r="B28" s="16" t="s">
        <v>45</v>
      </c>
      <c r="C28" s="38">
        <v>23</v>
      </c>
      <c r="D28" s="39" t="s">
        <v>350</v>
      </c>
      <c r="E28" s="18">
        <v>2</v>
      </c>
      <c r="F28" s="18" t="s">
        <v>524</v>
      </c>
    </row>
    <row r="29" spans="1:6" ht="66" x14ac:dyDescent="0.25">
      <c r="A29" s="16"/>
      <c r="B29" s="16" t="s">
        <v>44</v>
      </c>
      <c r="C29" s="38">
        <v>21</v>
      </c>
      <c r="D29" s="39" t="s">
        <v>351</v>
      </c>
      <c r="E29" s="18">
        <v>3</v>
      </c>
      <c r="F29" s="18" t="s">
        <v>525</v>
      </c>
    </row>
    <row r="30" spans="1:6" ht="33" x14ac:dyDescent="0.25">
      <c r="A30" s="16"/>
      <c r="B30" s="16" t="s">
        <v>47</v>
      </c>
      <c r="C30" s="38">
        <v>7</v>
      </c>
      <c r="D30" s="39" t="s">
        <v>352</v>
      </c>
      <c r="E30" s="18">
        <v>4</v>
      </c>
    </row>
    <row r="31" spans="1:6" x14ac:dyDescent="0.25">
      <c r="A31" s="16"/>
      <c r="B31" s="16" t="s">
        <v>358</v>
      </c>
      <c r="C31" s="38">
        <v>24</v>
      </c>
      <c r="D31" s="39"/>
      <c r="E31" s="18">
        <v>5</v>
      </c>
    </row>
    <row r="32" spans="1:6" x14ac:dyDescent="0.25">
      <c r="A32" s="16"/>
      <c r="B32" s="16" t="s">
        <v>466</v>
      </c>
      <c r="C32" s="38">
        <v>10</v>
      </c>
      <c r="D32" s="39"/>
      <c r="E32" s="18">
        <v>6</v>
      </c>
    </row>
    <row r="33" spans="1:5" x14ac:dyDescent="0.25">
      <c r="A33" s="16"/>
      <c r="B33" s="16"/>
      <c r="C33" s="17"/>
      <c r="D33" s="40"/>
    </row>
    <row r="34" spans="1:5" x14ac:dyDescent="0.25">
      <c r="A34" s="16"/>
    </row>
    <row r="35" spans="1:5" x14ac:dyDescent="0.25">
      <c r="A35" s="16"/>
    </row>
    <row r="36" spans="1:5" x14ac:dyDescent="0.25">
      <c r="A36" s="16"/>
    </row>
    <row r="37" spans="1:5" x14ac:dyDescent="0.25">
      <c r="A37" s="34" t="s">
        <v>495</v>
      </c>
      <c r="B37" s="34" t="s">
        <v>24</v>
      </c>
      <c r="C37" s="34" t="s">
        <v>30</v>
      </c>
      <c r="D37" s="34" t="s">
        <v>31</v>
      </c>
      <c r="E37" s="34" t="s">
        <v>489</v>
      </c>
    </row>
    <row r="38" spans="1:5" x14ac:dyDescent="0.25">
      <c r="B38" s="16" t="s">
        <v>517</v>
      </c>
      <c r="C38" s="38">
        <v>3.7</v>
      </c>
    </row>
    <row r="39" spans="1:5" x14ac:dyDescent="0.25">
      <c r="B39" s="16" t="s">
        <v>518</v>
      </c>
      <c r="C39" s="38">
        <v>0.5</v>
      </c>
    </row>
    <row r="40" spans="1:5" x14ac:dyDescent="0.25">
      <c r="B40" s="16" t="s">
        <v>500</v>
      </c>
      <c r="C40" s="38">
        <v>3</v>
      </c>
    </row>
    <row r="41" spans="1:5" x14ac:dyDescent="0.25">
      <c r="B41" s="16" t="s">
        <v>501</v>
      </c>
      <c r="C41" s="38" t="s">
        <v>448</v>
      </c>
      <c r="D41" s="18" t="s">
        <v>519</v>
      </c>
    </row>
    <row r="42" spans="1:5" x14ac:dyDescent="0.25">
      <c r="A42" s="34" t="s">
        <v>502</v>
      </c>
      <c r="B42" s="34" t="s">
        <v>24</v>
      </c>
      <c r="C42" s="34" t="s">
        <v>30</v>
      </c>
      <c r="D42" s="34" t="s">
        <v>31</v>
      </c>
      <c r="E42" s="34" t="s">
        <v>489</v>
      </c>
    </row>
    <row r="43" spans="1:5" x14ac:dyDescent="0.25">
      <c r="B43" s="16" t="s">
        <v>500</v>
      </c>
      <c r="C43" s="38">
        <v>1</v>
      </c>
    </row>
    <row r="44" spans="1:5" x14ac:dyDescent="0.25">
      <c r="B44" s="16" t="s">
        <v>503</v>
      </c>
      <c r="C44" s="38" t="s">
        <v>55</v>
      </c>
      <c r="D44" s="18" t="s">
        <v>520</v>
      </c>
    </row>
    <row r="45" spans="1:5" x14ac:dyDescent="0.25">
      <c r="A45" s="34" t="s">
        <v>504</v>
      </c>
      <c r="B45" s="34" t="s">
        <v>24</v>
      </c>
      <c r="C45" s="34" t="s">
        <v>30</v>
      </c>
      <c r="D45" s="34" t="s">
        <v>31</v>
      </c>
      <c r="E45" s="34" t="s">
        <v>489</v>
      </c>
    </row>
    <row r="46" spans="1:5" x14ac:dyDescent="0.25">
      <c r="B46" s="16" t="s">
        <v>517</v>
      </c>
      <c r="C46" s="41">
        <v>0</v>
      </c>
      <c r="D46" s="18" t="s">
        <v>522</v>
      </c>
    </row>
    <row r="47" spans="1:5" x14ac:dyDescent="0.25">
      <c r="B47" s="16" t="s">
        <v>518</v>
      </c>
      <c r="C47" s="41">
        <v>0</v>
      </c>
      <c r="D47" s="18" t="s">
        <v>523</v>
      </c>
    </row>
    <row r="48" spans="1:5" x14ac:dyDescent="0.25">
      <c r="B48" s="16" t="s">
        <v>501</v>
      </c>
      <c r="C48" s="41" t="s">
        <v>448</v>
      </c>
    </row>
    <row r="49" spans="1:5" x14ac:dyDescent="0.25">
      <c r="B49" s="16" t="s">
        <v>505</v>
      </c>
      <c r="C49" s="41" t="s">
        <v>362</v>
      </c>
      <c r="D49" s="18" t="s">
        <v>516</v>
      </c>
    </row>
    <row r="50" spans="1:5" x14ac:dyDescent="0.25">
      <c r="B50" s="16" t="s">
        <v>506</v>
      </c>
      <c r="C50" s="41">
        <v>15</v>
      </c>
      <c r="D50" s="18" t="s">
        <v>521</v>
      </c>
    </row>
    <row r="51" spans="1:5" x14ac:dyDescent="0.25">
      <c r="A51" s="34" t="s">
        <v>507</v>
      </c>
      <c r="B51" s="34" t="s">
        <v>24</v>
      </c>
      <c r="C51" s="34" t="s">
        <v>30</v>
      </c>
      <c r="D51" s="34" t="s">
        <v>31</v>
      </c>
      <c r="E51" s="34" t="s">
        <v>489</v>
      </c>
    </row>
    <row r="52" spans="1:5" x14ac:dyDescent="0.25">
      <c r="B52" s="16" t="s">
        <v>515</v>
      </c>
      <c r="C52" s="38">
        <v>1E-4</v>
      </c>
      <c r="D52" s="18" t="s">
        <v>51</v>
      </c>
    </row>
    <row r="53" spans="1:5" x14ac:dyDescent="0.25">
      <c r="B53" s="16" t="s">
        <v>514</v>
      </c>
      <c r="C53" s="41">
        <v>7</v>
      </c>
    </row>
    <row r="54" spans="1:5" x14ac:dyDescent="0.25">
      <c r="B54" s="16" t="s">
        <v>513</v>
      </c>
      <c r="C54" s="38">
        <v>9.9999999999999995E-7</v>
      </c>
      <c r="D54" s="18" t="s">
        <v>52</v>
      </c>
    </row>
    <row r="55" spans="1:5" x14ac:dyDescent="0.25">
      <c r="B55" s="16" t="s">
        <v>512</v>
      </c>
      <c r="C55" s="41">
        <v>2</v>
      </c>
    </row>
    <row r="56" spans="1:5" x14ac:dyDescent="0.25">
      <c r="A56" s="34" t="s">
        <v>508</v>
      </c>
      <c r="B56" s="34" t="s">
        <v>24</v>
      </c>
      <c r="C56" s="34" t="s">
        <v>30</v>
      </c>
      <c r="D56" s="34" t="s">
        <v>31</v>
      </c>
      <c r="E56" s="34" t="s">
        <v>489</v>
      </c>
    </row>
    <row r="57" spans="1:5" x14ac:dyDescent="0.25">
      <c r="B57" s="16" t="s">
        <v>509</v>
      </c>
      <c r="C57" s="41">
        <v>25</v>
      </c>
    </row>
    <row r="58" spans="1:5" x14ac:dyDescent="0.25">
      <c r="B58" s="16" t="s">
        <v>501</v>
      </c>
      <c r="C58" s="41" t="s">
        <v>448</v>
      </c>
    </row>
    <row r="59" spans="1:5" x14ac:dyDescent="0.25">
      <c r="B59" s="17" t="s">
        <v>510</v>
      </c>
      <c r="C59" s="41">
        <v>-45</v>
      </c>
    </row>
    <row r="60" spans="1:5" x14ac:dyDescent="0.25">
      <c r="B60" s="17" t="s">
        <v>511</v>
      </c>
      <c r="C60" s="41">
        <v>185</v>
      </c>
    </row>
    <row r="61" spans="1:5" x14ac:dyDescent="0.25">
      <c r="A61" s="34" t="s">
        <v>33</v>
      </c>
      <c r="B61" s="34" t="s">
        <v>24</v>
      </c>
      <c r="C61" s="34" t="s">
        <v>34</v>
      </c>
      <c r="D61" s="34" t="s">
        <v>31</v>
      </c>
      <c r="E61" s="34" t="s">
        <v>489</v>
      </c>
    </row>
    <row r="62" spans="1:5" x14ac:dyDescent="0.25">
      <c r="B62" s="16" t="s">
        <v>14</v>
      </c>
      <c r="C62" s="38">
        <v>4</v>
      </c>
      <c r="D62" s="18" t="s">
        <v>35</v>
      </c>
    </row>
    <row r="63" spans="1:5" x14ac:dyDescent="0.25">
      <c r="B63" s="16" t="s">
        <v>62</v>
      </c>
      <c r="C63" s="38">
        <v>0.8</v>
      </c>
      <c r="D63" s="18" t="s">
        <v>36</v>
      </c>
    </row>
    <row r="64" spans="1:5" x14ac:dyDescent="0.25">
      <c r="B64" s="18" t="s">
        <v>337</v>
      </c>
      <c r="C64" s="41">
        <v>0</v>
      </c>
      <c r="D64" s="18" t="s">
        <v>338</v>
      </c>
    </row>
    <row r="65" spans="2:4" x14ac:dyDescent="0.25">
      <c r="B65" s="18" t="s">
        <v>37</v>
      </c>
      <c r="C65" s="41">
        <v>0.5</v>
      </c>
      <c r="D65" s="18" t="s">
        <v>38</v>
      </c>
    </row>
    <row r="66" spans="2:4" x14ac:dyDescent="0.25">
      <c r="B66" s="18" t="s">
        <v>63</v>
      </c>
      <c r="C66" s="41">
        <v>0.01</v>
      </c>
      <c r="D66" s="18" t="s">
        <v>64</v>
      </c>
    </row>
    <row r="67" spans="2:4" x14ac:dyDescent="0.25">
      <c r="B67" s="18" t="s">
        <v>328</v>
      </c>
      <c r="C67" s="41">
        <v>1</v>
      </c>
      <c r="D67" s="18" t="s">
        <v>329</v>
      </c>
    </row>
    <row r="68" spans="2:4" x14ac:dyDescent="0.25">
      <c r="B68" s="18" t="s">
        <v>345</v>
      </c>
      <c r="C68" s="41">
        <v>7.6000000000000004E-5</v>
      </c>
      <c r="D68" s="18" t="s">
        <v>347</v>
      </c>
    </row>
    <row r="69" spans="2:4" x14ac:dyDescent="0.25">
      <c r="B69" s="18" t="s">
        <v>346</v>
      </c>
      <c r="C69" s="41">
        <v>8.5000000000000006E-5</v>
      </c>
      <c r="D69" s="18" t="s">
        <v>348</v>
      </c>
    </row>
    <row r="70" spans="2:4" x14ac:dyDescent="0.25">
      <c r="B70" s="18" t="s">
        <v>354</v>
      </c>
      <c r="C70" s="41">
        <v>25</v>
      </c>
      <c r="D70" s="18" t="s">
        <v>356</v>
      </c>
    </row>
    <row r="71" spans="2:4" x14ac:dyDescent="0.25">
      <c r="B71" s="18" t="s">
        <v>355</v>
      </c>
      <c r="C71" s="41">
        <v>3</v>
      </c>
      <c r="D71" s="18" t="s">
        <v>357</v>
      </c>
    </row>
    <row r="72" spans="2:4" x14ac:dyDescent="0.25">
      <c r="B72" s="18" t="s">
        <v>364</v>
      </c>
      <c r="C72" s="41">
        <v>2</v>
      </c>
      <c r="D72" s="18" t="s">
        <v>365</v>
      </c>
    </row>
    <row r="73" spans="2:4" x14ac:dyDescent="0.25">
      <c r="B73" s="18" t="s">
        <v>435</v>
      </c>
      <c r="C73" s="41">
        <v>1</v>
      </c>
      <c r="D73" s="18" t="s">
        <v>438</v>
      </c>
    </row>
    <row r="74" spans="2:4" x14ac:dyDescent="0.25">
      <c r="B74" s="18" t="s">
        <v>436</v>
      </c>
      <c r="C74" s="41">
        <v>2</v>
      </c>
      <c r="D74" s="18" t="s">
        <v>439</v>
      </c>
    </row>
    <row r="75" spans="2:4" x14ac:dyDescent="0.25">
      <c r="B75" s="18" t="s">
        <v>526</v>
      </c>
      <c r="C75" s="41">
        <v>1</v>
      </c>
      <c r="D75" s="18" t="s">
        <v>527</v>
      </c>
    </row>
    <row r="76" spans="2:4" x14ac:dyDescent="0.25">
      <c r="B76" s="18" t="s">
        <v>528</v>
      </c>
      <c r="C76" s="41">
        <v>0</v>
      </c>
      <c r="D76" s="18" t="s">
        <v>529</v>
      </c>
    </row>
    <row r="77" spans="2:4" x14ac:dyDescent="0.25">
      <c r="B77" s="18" t="s">
        <v>530</v>
      </c>
      <c r="C77" s="41">
        <v>0</v>
      </c>
      <c r="D77" s="18" t="s">
        <v>531</v>
      </c>
    </row>
    <row r="78" spans="2:4" x14ac:dyDescent="0.25">
      <c r="B78" s="18" t="s">
        <v>532</v>
      </c>
      <c r="C78" s="41">
        <v>0</v>
      </c>
      <c r="D78" s="18" t="s">
        <v>533</v>
      </c>
    </row>
    <row r="79" spans="2:4" x14ac:dyDescent="0.25">
      <c r="B79" s="18" t="s">
        <v>534</v>
      </c>
      <c r="C79" s="41">
        <v>1</v>
      </c>
      <c r="D79" s="18" t="s">
        <v>535</v>
      </c>
    </row>
    <row r="80" spans="2:4" x14ac:dyDescent="0.25">
      <c r="B80" s="18" t="s">
        <v>536</v>
      </c>
      <c r="C80" s="41">
        <v>25</v>
      </c>
      <c r="D80" s="18" t="s">
        <v>537</v>
      </c>
    </row>
    <row r="81" spans="2:4" x14ac:dyDescent="0.25">
      <c r="B81" s="18" t="s">
        <v>538</v>
      </c>
      <c r="C81" s="41">
        <v>185</v>
      </c>
      <c r="D81" s="18" t="s">
        <v>539</v>
      </c>
    </row>
    <row r="82" spans="2:4" x14ac:dyDescent="0.25">
      <c r="B82" s="18" t="s">
        <v>540</v>
      </c>
      <c r="C82" s="41">
        <v>-40</v>
      </c>
      <c r="D82" s="18" t="s">
        <v>541</v>
      </c>
    </row>
    <row r="83" spans="2:4" x14ac:dyDescent="0.25">
      <c r="B83" s="18" t="s">
        <v>542</v>
      </c>
      <c r="C83" s="41">
        <v>0</v>
      </c>
      <c r="D83" s="18" t="s">
        <v>543</v>
      </c>
    </row>
    <row r="84" spans="2:4" x14ac:dyDescent="0.25">
      <c r="B84" s="16" t="s">
        <v>359</v>
      </c>
      <c r="C84" s="38">
        <v>15</v>
      </c>
      <c r="D84" s="18" t="s">
        <v>360</v>
      </c>
    </row>
    <row r="85" spans="2:4" x14ac:dyDescent="0.25">
      <c r="B85" s="16" t="s">
        <v>12</v>
      </c>
      <c r="C85" s="38">
        <v>7</v>
      </c>
      <c r="D85" s="18" t="s">
        <v>32</v>
      </c>
    </row>
    <row r="86" spans="2:4" x14ac:dyDescent="0.25">
      <c r="B86" s="16" t="s">
        <v>13</v>
      </c>
      <c r="C86" s="38">
        <v>0.5</v>
      </c>
      <c r="D86" s="18" t="s">
        <v>32</v>
      </c>
    </row>
    <row r="87" spans="2:4" x14ac:dyDescent="0.25">
      <c r="B87" s="16" t="s">
        <v>48</v>
      </c>
      <c r="C87" s="38">
        <v>3</v>
      </c>
      <c r="D87" s="18" t="s">
        <v>437</v>
      </c>
    </row>
    <row r="88" spans="2:4" x14ac:dyDescent="0.25">
      <c r="B88" s="16" t="s">
        <v>49</v>
      </c>
      <c r="C88" s="38">
        <v>1E-4</v>
      </c>
      <c r="D88" s="18" t="s">
        <v>51</v>
      </c>
    </row>
    <row r="89" spans="2:4" x14ac:dyDescent="0.25">
      <c r="B89" s="16" t="s">
        <v>50</v>
      </c>
      <c r="C89" s="38">
        <v>9.9999999999999995E-7</v>
      </c>
      <c r="D89" s="18" t="s">
        <v>52</v>
      </c>
    </row>
    <row r="90" spans="2:4" x14ac:dyDescent="0.25">
      <c r="B90" s="16" t="s">
        <v>53</v>
      </c>
      <c r="C90" s="38">
        <v>1</v>
      </c>
      <c r="D90" s="18" t="s">
        <v>60</v>
      </c>
    </row>
    <row r="91" spans="2:4" x14ac:dyDescent="0.25">
      <c r="B91" s="17" t="s">
        <v>54</v>
      </c>
      <c r="C91" s="41" t="s">
        <v>55</v>
      </c>
      <c r="D91" s="18" t="s">
        <v>56</v>
      </c>
    </row>
    <row r="92" spans="2:4" x14ac:dyDescent="0.25">
      <c r="B92" s="16" t="s">
        <v>59</v>
      </c>
      <c r="C92" s="41">
        <v>2</v>
      </c>
      <c r="D92" s="18" t="s">
        <v>61</v>
      </c>
    </row>
    <row r="93" spans="2:4" x14ac:dyDescent="0.25">
      <c r="B93" s="16" t="s">
        <v>343</v>
      </c>
      <c r="C93" s="41">
        <v>1</v>
      </c>
      <c r="D93" s="18" t="s">
        <v>344</v>
      </c>
    </row>
    <row r="94" spans="2:4" x14ac:dyDescent="0.25">
      <c r="B94" s="17" t="s">
        <v>361</v>
      </c>
      <c r="C94" s="41" t="s">
        <v>362</v>
      </c>
      <c r="D94" s="18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inst_ctrl</vt:lpstr>
      <vt:lpstr>Main</vt:lpstr>
      <vt:lpstr>I2C_ctrl</vt:lpstr>
      <vt:lpstr>V_I_com</vt:lpstr>
      <vt:lpstr>raw_out</vt:lpstr>
      <vt:lpstr>IQ_measured</vt:lpstr>
      <vt:lpstr>SWIRE_scan</vt:lpstr>
      <vt:lpstr>CTRL_sh_ex</vt:lpstr>
      <vt:lpstr>CTRL_sh_line</vt:lpstr>
      <vt:lpstr>CTRL_sh_load</vt:lpstr>
      <vt:lpstr>table</vt:lpstr>
      <vt:lpstr>manual</vt:lpstr>
      <vt:lpstr>Main_old</vt:lpstr>
      <vt:lpstr>Main_V0.1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2022-09-23T02:04:58Z</dcterms:modified>
</cp:coreProperties>
</file>